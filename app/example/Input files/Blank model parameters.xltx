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workbookPr/>
  <mc:AlternateContent xmlns:mc="http://schemas.openxmlformats.org/markup-compatibility/2006">
    <mc:Choice Requires="x15">
      <x15ac:absPath xmlns:x15ac="http://schemas.microsoft.com/office/spreadsheetml/2010/11/ac" url="D:\Matlab Code\muiModels\Asmita\app\example\Input files\"/>
    </mc:Choice>
  </mc:AlternateContent>
  <xr:revisionPtr revIDLastSave="0" documentId="13_ncr:1_{84A907B4-D6C8-4011-932F-9D6A309BB671}" xr6:coauthVersionLast="47" xr6:coauthVersionMax="47" xr10:uidLastSave="{00000000-0000-0000-0000-000000000000}"/>
  <bookViews>
    <workbookView xWindow="41680" yWindow="2310" windowWidth="26120" windowHeight="15300" xr2:uid="{00000000-000D-0000-FFFF-FFFF00000000}"/>
  </bookViews>
  <sheets>
    <sheet name="Intro" sheetId="4" r:id="rId1"/>
    <sheet name="Inputs" sheetId="1" r:id="rId2"/>
    <sheet name="Change" sheetId="2" r:id="rId3"/>
    <sheet name="Load" sheetId="3" r:id="rId4"/>
    <sheet name="Sheet1" sheetId="6" r:id="rId5"/>
  </sheets>
  <definedNames>
    <definedName name="Data_sources">Intro!$A$29:$A$36</definedName>
    <definedName name="Help">Intro!$A$53:$A$63</definedName>
    <definedName name="Links">Intro!$A$21:$A$28</definedName>
    <definedName name="References">Intro!$A$37:$A$44</definedName>
    <definedName name="Variables">Intro!$A$45:$A$51</definedName>
    <definedName name="Worksheet_definitions">Intro!$A$13:$A$20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2" l="1"/>
  <c r="N2" i="2"/>
  <c r="L2" i="2"/>
  <c r="J2" i="2"/>
  <c r="J1" i="2"/>
  <c r="L1" i="2"/>
  <c r="N1" i="2"/>
  <c r="J2" i="6"/>
  <c r="L2" i="6"/>
  <c r="N2" i="6"/>
  <c r="N1" i="6"/>
  <c r="L1" i="6"/>
  <c r="J1" i="6"/>
  <c r="D1" i="6"/>
  <c r="F32" i="1"/>
  <c r="E32" i="1"/>
  <c r="D32" i="1"/>
  <c r="F31" i="1"/>
  <c r="E31" i="1"/>
  <c r="D31" i="1"/>
  <c r="F30" i="1"/>
  <c r="F36" i="1" s="1"/>
  <c r="F29" i="1"/>
  <c r="E29" i="1"/>
  <c r="D29" i="1"/>
  <c r="E17" i="1"/>
  <c r="N2" i="3"/>
  <c r="L2" i="3"/>
  <c r="N1" i="3"/>
  <c r="L1" i="3"/>
  <c r="N2" i="1"/>
  <c r="L2" i="1"/>
  <c r="N1" i="1"/>
  <c r="L1" i="1"/>
  <c r="J2" i="3"/>
  <c r="J1" i="3"/>
  <c r="D1" i="3"/>
  <c r="D1" i="1"/>
  <c r="J2" i="1"/>
  <c r="J1" i="1"/>
  <c r="E11" i="3" a="1"/>
  <c r="I12" i="3" a="1"/>
  <c r="D11" i="3" a="1"/>
  <c r="G13" i="3" a="1"/>
  <c r="D12" i="3" a="1"/>
  <c r="D15" i="4"/>
  <c r="I13" i="3" a="1"/>
  <c r="F11" i="3" a="1"/>
  <c r="H12" i="3" a="1"/>
  <c r="F13" i="3" a="1"/>
  <c r="H13" i="3" a="1"/>
  <c r="G11" i="3" a="1"/>
  <c r="H11" i="3" a="1"/>
  <c r="E13" i="3" a="1"/>
  <c r="D13" i="3" a="1"/>
  <c r="D16" i="4"/>
  <c r="G12" i="3" a="1"/>
  <c r="I11" i="3" a="1"/>
  <c r="F12" i="3" a="1"/>
  <c r="D17" i="4"/>
  <c r="E12" i="3" a="1"/>
  <c r="E12" i="3" l="1"/>
  <c r="F12" i="3"/>
  <c r="G12" i="3"/>
  <c r="H12" i="3"/>
  <c r="I12" i="3"/>
  <c r="D12" i="3"/>
  <c r="I11" i="3"/>
  <c r="H13" i="3"/>
  <c r="E13" i="3"/>
  <c r="G13" i="3"/>
  <c r="F11" i="3"/>
  <c r="H11" i="3"/>
  <c r="F13" i="3"/>
  <c r="I13" i="3"/>
  <c r="E11" i="3"/>
  <c r="G11" i="3"/>
  <c r="D13" i="3"/>
  <c r="D11" i="3"/>
  <c r="D33" i="1"/>
  <c r="F35" i="1"/>
  <c r="F37" i="1"/>
  <c r="F38" i="1" s="1"/>
  <c r="E33" i="1"/>
  <c r="F33" i="1"/>
  <c r="F3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Ian Townend</author>
  </authors>
  <commentList>
    <comment ref="C3" authorId="0" shapeId="0" xr:uid="{5BDEC889-6CCF-4459-8075-214697B923BF}">
      <text>
        <r>
          <rPr>
            <sz val="9"/>
            <color indexed="81"/>
            <rFont val="Tahoma"/>
            <family val="2"/>
          </rPr>
          <t xml:space="preserve">Element columns in Inputs worksheet. Adjust to give the desired input order based on element definition in Asmita.
</t>
        </r>
      </text>
    </comment>
    <comment ref="C9" authorId="0" shapeId="0" xr:uid="{BA2C519F-424B-4897-9BFF-B05B32F18A87}">
      <text>
        <r>
          <rPr>
            <sz val="9"/>
            <color indexed="81"/>
            <rFont val="Tahoma"/>
            <family val="2"/>
          </rPr>
          <t>Name of source worksheet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<sst xmlns="http://schemas.openxmlformats.org/spreadsheetml/2006/main" count="231" uniqueCount="160">
  <si>
    <t>example</t>
  </si>
  <si>
    <t>Created by:</t>
  </si>
  <si>
    <t>Date:</t>
  </si>
  <si>
    <t>Worksheet Definitions</t>
  </si>
  <si>
    <t>Data Sources</t>
  </si>
  <si>
    <t>Variables</t>
  </si>
  <si>
    <t>Links</t>
  </si>
  <si>
    <t>References</t>
  </si>
  <si>
    <t>Worksheet Definitions:</t>
  </si>
  <si>
    <t>Worksheet title</t>
  </si>
  <si>
    <t>Content</t>
  </si>
  <si>
    <t>Links:</t>
  </si>
  <si>
    <t>File name/Worksheet</t>
  </si>
  <si>
    <t>Purpose</t>
  </si>
  <si>
    <t>Data sources:</t>
  </si>
  <si>
    <t>Data Type</t>
  </si>
  <si>
    <t>Source</t>
  </si>
  <si>
    <t>References:</t>
  </si>
  <si>
    <t>Variables:</t>
  </si>
  <si>
    <t>Column/Row heading</t>
  </si>
  <si>
    <t>Definition</t>
  </si>
  <si>
    <t>Content:</t>
  </si>
  <si>
    <t>Definitions, etc:</t>
  </si>
  <si>
    <t>Column Headings</t>
  </si>
  <si>
    <t>sample of content</t>
  </si>
  <si>
    <t>initials</t>
  </si>
  <si>
    <t>Title:</t>
  </si>
  <si>
    <t>Checked by:</t>
  </si>
  <si>
    <t>Approved by:</t>
  </si>
  <si>
    <t>File:</t>
  </si>
  <si>
    <t>Job No:</t>
  </si>
  <si>
    <t>checker</t>
  </si>
  <si>
    <t>approver</t>
  </si>
  <si>
    <t>reference</t>
  </si>
  <si>
    <t>number</t>
  </si>
  <si>
    <t>Help:</t>
  </si>
  <si>
    <t>Help</t>
  </si>
  <si>
    <t>Complete title, file reference, job number and details of who has created, checked and approved this file in the header above</t>
  </si>
  <si>
    <t>This information is then automatically copied through to the other worksheets</t>
  </si>
  <si>
    <t>This will automatically be listed in the Worksheet definition list on this Introduction page</t>
  </si>
  <si>
    <t>Enter the title for an individual worksheet in the cell provided for Content on the worksheet</t>
  </si>
  <si>
    <t>If you rename a worksheet tab, edit the Worksheet Title above to match.  The Content title will then be picked up</t>
  </si>
  <si>
    <t>Use the space at the head of each worksheet to list definitions, constants used within the worksheet etc</t>
  </si>
  <si>
    <t>Use the yellow header define the content of each column (including units etc if appropriate)</t>
  </si>
  <si>
    <t>In the blank worksheet, columns A and B are narrowed so that they can be used later if needed.  This can be advantageous if you design worksheets and work books that are linked and you later need to add a column and do not want to upset the vertical overlays.</t>
  </si>
  <si>
    <t>Use the tables under the linked headings above to provide further documentation as approriate</t>
  </si>
  <si>
    <t>REMEMBER the purpose is to provide sufficient information to allow some one else to understand the contents of the spreadsheet.</t>
  </si>
  <si>
    <t>Inputs</t>
  </si>
  <si>
    <t>Change</t>
  </si>
  <si>
    <t>Load</t>
  </si>
  <si>
    <t xml:space="preserve"> Type of element</t>
  </si>
  <si>
    <t>Delta</t>
  </si>
  <si>
    <t>Channel</t>
  </si>
  <si>
    <t>Flat</t>
  </si>
  <si>
    <t xml:space="preserve"> Element name</t>
  </si>
  <si>
    <t>repeat as requried to define each element of model</t>
  </si>
  <si>
    <t xml:space="preserve"> Initial volume, V (m^3)</t>
  </si>
  <si>
    <t>--&gt;</t>
  </si>
  <si>
    <t xml:space="preserve"> Initial surface area,S  (m^2)</t>
  </si>
  <si>
    <t xml:space="preserve"> Tidal range in element, tr (m)</t>
  </si>
  <si>
    <t xml:space="preserve"> Length of element, along flow axis, Lr (m)</t>
  </si>
  <si>
    <t xml:space="preserve"> Number of banks in element (default=2)</t>
  </si>
  <si>
    <t xml:space="preserve"> Concentration imported by advection, roI (kg/m^3)</t>
  </si>
  <si>
    <t xml:space="preserve"> Bulk density of sediment, roS (default = 1650 kg/m^3)</t>
  </si>
  <si>
    <t xml:space="preserve"> Transport coefficient, n (default = +2)</t>
  </si>
  <si>
    <t xml:space="preserve"> Vertical exchange, ws (m/s)</t>
  </si>
  <si>
    <t xml:space="preserve"> Eq. volume scaling coefficient, alpha</t>
  </si>
  <si>
    <t xml:space="preserve"> Eq. volume shape coefficient, beta</t>
  </si>
  <si>
    <t xml:space="preserve"> Option to fix volume + area, 1=yes;0=no</t>
  </si>
  <si>
    <t xml:space="preserve"> CSA at start of reach, A</t>
  </si>
  <si>
    <t xml:space="preserve"> Hydraulic depth at mtl, H</t>
  </si>
  <si>
    <t xml:space="preserve"> Peak flow velocity in element, u</t>
  </si>
  <si>
    <t xml:space="preserve"> Hydraulic depth of element, Hi</t>
  </si>
  <si>
    <t xml:space="preserve"> Intertidal half width, wi (single bank)</t>
  </si>
  <si>
    <t>-</t>
  </si>
  <si>
    <t xml:space="preserve"> Horizontal advection, D =u^2*H/ws</t>
  </si>
  <si>
    <t xml:space="preserve"> Excursion length, Lx=u*Tp/pi</t>
  </si>
  <si>
    <t xml:space="preserve"> Channel horizontal exchange, d=D*A/Lx</t>
  </si>
  <si>
    <t xml:space="preserve"> Intertidal exchange, d=D*tr/2*Lr/Lx</t>
  </si>
  <si>
    <t xml:space="preserve"> Intertidal exchange, d=u^2*Hi/ws*tr/2*Lr/Lx</t>
  </si>
  <si>
    <t xml:space="preserve"> Intertidal velocity, ui=wi*2pi/Tp/2</t>
  </si>
  <si>
    <t xml:space="preserve"> Intertidal exchange, Di=ui^2*Hi/ws *nbk </t>
  </si>
  <si>
    <t xml:space="preserve"> Intertidal exchange coeff, di=Di*tr/2*Lr/wi</t>
  </si>
  <si>
    <t>Definitions</t>
  </si>
  <si>
    <t>Volume</t>
  </si>
  <si>
    <t>For a delta this is usually taken as the volume of sand above the surrounding bed level (hence -ve n value)</t>
  </si>
  <si>
    <t>The volume below low water</t>
  </si>
  <si>
    <t>The volume of water over the tidal flats between high and low water</t>
  </si>
  <si>
    <t>Area</t>
  </si>
  <si>
    <t>The surface area enclosing the volumes of each element</t>
  </si>
  <si>
    <t>Transverse slope</t>
  </si>
  <si>
    <t>This is the side slope of the channel at low water and of the flat and marsh elements at high water (not needed for delta)</t>
  </si>
  <si>
    <t>Length of element</t>
  </si>
  <si>
    <t>Should be the along channel length following the thalweg.  However may need to make this representative of the total length of channel fronting a flat</t>
  </si>
  <si>
    <t>hy depth at mtl</t>
  </si>
  <si>
    <t>Hydraulic depth at mean tide level. Can be approximted by the volume/surface area, both measured at mtl</t>
  </si>
  <si>
    <t>CSA at start of reach</t>
  </si>
  <si>
    <t>Cross-sectional area of the downstream end of each element (usually taken at mtl). Same value applies to all linked elements (ie channel, flat and saltmarsh)</t>
  </si>
  <si>
    <t>peak velocity</t>
  </si>
  <si>
    <t>Indicative peak tidal velocity within channel element</t>
  </si>
  <si>
    <t>flow rate of advective imputs, eg river flows (m3/s)</t>
  </si>
  <si>
    <t>If there are river flows importing significant volumes of sediment this allows them to be specified</t>
  </si>
  <si>
    <t>concentration imported by advection (kg/m^3)</t>
  </si>
  <si>
    <t>Concentration for defined flow rate</t>
  </si>
  <si>
    <t>Hydraulic parameters</t>
  </si>
  <si>
    <t xml:space="preserve"> Tidal amplitude (m)</t>
  </si>
  <si>
    <t xml:space="preserve"> Mean sea level at t=0 (mOD)</t>
  </si>
  <si>
    <t xml:space="preserve"> Rate of sea level change (m/year)</t>
  </si>
  <si>
    <t xml:space="preserve"> Number of cycles</t>
  </si>
  <si>
    <t xml:space="preserve"> Amplitude of cycle (m)</t>
  </si>
  <si>
    <t xml:space="preserve"> Period of cycle (years)</t>
  </si>
  <si>
    <t xml:space="preserve"> Phase of cycle (years)</t>
  </si>
  <si>
    <t xml:space="preserve"> LW/HW factor</t>
  </si>
  <si>
    <t>System parameters</t>
  </si>
  <si>
    <t xml:space="preserve"> Coarse equilibrium concentration (kg/m^3)</t>
  </si>
  <si>
    <t xml:space="preserve"> Fine equilibrium concentration (kg/m^3)</t>
  </si>
  <si>
    <t>Area e-folding convergence length (m)</t>
  </si>
  <si>
    <t>Wind speed (m/s)</t>
  </si>
  <si>
    <t>Wind elevation (m)</t>
  </si>
  <si>
    <t>Run time variables</t>
  </si>
  <si>
    <t xml:space="preserve"> Size of time-step in computation (years)</t>
  </si>
  <si>
    <t xml:space="preserve"> Number of time-steps to be considered (-)</t>
  </si>
  <si>
    <t xml:space="preserve"> Start year (years AD)</t>
  </si>
  <si>
    <t>Advective exchange (river and drift)</t>
  </si>
  <si>
    <t>River flow rate (m3/s)</t>
  </si>
  <si>
    <t>River sediment concentration</t>
  </si>
  <si>
    <t>Cr</t>
  </si>
  <si>
    <t>Asmita element input data</t>
  </si>
  <si>
    <t xml:space="preserve"> Eq. type (1=prism; 0=tidal range)</t>
  </si>
  <si>
    <t>Positive values are an increase in water volume or surface area</t>
  </si>
  <si>
    <t>Element 1</t>
  </si>
  <si>
    <t>Element 2</t>
  </si>
  <si>
    <t>Element 3</t>
  </si>
  <si>
    <t>Element 4</t>
  </si>
  <si>
    <t xml:space="preserve">Volume </t>
  </si>
  <si>
    <t>Surface area</t>
  </si>
  <si>
    <t>Year</t>
  </si>
  <si>
    <t>m3</t>
  </si>
  <si>
    <t>Element &gt;</t>
  </si>
  <si>
    <t>Collate data to define element input table to load into Asmita</t>
  </si>
  <si>
    <t>cells used to access source data. Do not modify unless source data cells are changed</t>
  </si>
  <si>
    <t>d</t>
  </si>
  <si>
    <t>ID</t>
  </si>
  <si>
    <t>SurfaceArea</t>
  </si>
  <si>
    <t>Length</t>
  </si>
  <si>
    <t>VerticalExchange</t>
  </si>
  <si>
    <t>TransportCoefficient</t>
  </si>
  <si>
    <t>BedDensity</t>
  </si>
  <si>
    <t>SedimentMobility</t>
  </si>
  <si>
    <t>TidalDamping</t>
  </si>
  <si>
    <t>e</t>
  </si>
  <si>
    <t>f</t>
  </si>
  <si>
    <t>Copy table into a text file to use Setup&gt;Elements&gt;Load Parameters</t>
  </si>
  <si>
    <t>Include row 10 as a header in the text file.</t>
  </si>
  <si>
    <t>Non-Erodible</t>
  </si>
  <si>
    <t>0/1</t>
  </si>
  <si>
    <t>The changes are loaded into Asmita using Setup&gt;Interventions&gt;Load file</t>
  </si>
  <si>
    <t>An ascii file is required for each element.</t>
  </si>
  <si>
    <t>Copy the columns for an element together with the header (row 11) into a text file to use the load facility</t>
  </si>
  <si>
    <t>Assigned values of horizontal exchange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</si>
</sst>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mmm\-yy"/>
    <numFmt numFmtId="165" formatCode="0.0000"/>
    <numFmt numFmtId="166" formatCode="0.000"/>
    <numFmt numFmtId="167" formatCode="0.0"/>
    <numFmt numFmtId="168" formatCode="#,##0.0"/>
    <numFmt numFmtId="169" formatCode="0.000E+00"/>
  </numFmts>
  <fonts count="18" x14ac:knownFonts="1">
    <font>
      <sz val="12"/>
      <name val="Times New Roman"/>
    </font>
    <font>
      <u/>
      <sz val="12"/>
      <color indexed="12"/>
      <name val="Times New Roman"/>
      <family val="1"/>
    </font>
    <font>
      <sz val="11"/>
      <name val="Arial"/>
      <family val="2"/>
    </font>
    <font>
      <b/>
      <sz val="11"/>
      <name val="Arial"/>
      <family val="2"/>
    </font>
    <font>
      <u/>
      <sz val="11"/>
      <color indexed="12"/>
      <name val="Arial"/>
      <family val="2"/>
    </font>
    <font>
      <b/>
      <i/>
      <sz val="11"/>
      <name val="Arial"/>
      <family val="2"/>
    </font>
    <font>
      <sz val="10"/>
      <name val="Arial"/>
      <family val="2"/>
    </font>
    <font>
      <sz val="9"/>
      <name val="Arial"/>
      <family val="2"/>
    </font>
    <font>
      <sz val="12"/>
      <name val="Times New Roman"/>
      <family val="1"/>
    </font>
    <font>
      <b/>
      <sz val="10"/>
      <name val="Times New Roman"/>
      <family val="1"/>
    </font>
    <font>
      <b/>
      <sz val="10"/>
      <name val="Arial"/>
      <family val="2"/>
    </font>
    <font>
      <b/>
      <i/>
      <sz val="10"/>
      <name val="Arial"/>
      <family val="2"/>
    </font>
    <font>
      <sz val="10"/>
      <name val="Courier New"/>
      <family val="3"/>
    </font>
    <font>
      <sz val="10"/>
      <name val="Tahoma"/>
      <family val="2"/>
    </font>
    <font>
      <b/>
      <u/>
      <sz val="10"/>
      <name val="Tahoma"/>
      <family val="2"/>
    </font>
    <font>
      <b/>
      <sz val="10"/>
      <name val="Tahoma"/>
      <family val="2"/>
    </font>
    <font>
      <sz val="10"/>
      <name val="Times New Roman"/>
      <family val="1"/>
    </font>
    <font>
      <sz val="9"/>
      <color indexed="81"/>
      <name val="Tahoma"/>
      <family val="2"/>
    </font>
  </fonts>
  <fills count="13">
    <fill>
      <patternFill patternType="none"/>
    </fill>
    <fill>
      <patternFill patternType="gray125"/>
    </fill>
    <fill>
      <patternFill patternType="solid">
        <fgColor theme="9" tint="0.39994506668294322"/>
        <bgColor indexed="64"/>
      </patternFill>
    </fill>
    <fill>
      <patternFill patternType="solid">
        <fgColor theme="5" tint="0.79998168889431442"/>
        <bgColor indexed="64"/>
      </patternFill>
    </fill>
    <fill>
      <patternFill patternType="solid">
        <fgColor theme="6" tint="0.79998168889431442"/>
        <bgColor indexed="64"/>
      </patternFill>
    </fill>
    <fill>
      <patternFill patternType="gray0625">
        <fgColor theme="4" tint="0.79995117038483843"/>
        <bgColor theme="0"/>
      </patternFill>
    </fill>
    <fill>
      <patternFill patternType="gray0625">
        <fgColor theme="5" tint="0.79998168889431442"/>
        <bgColor theme="0"/>
      </patternFill>
    </fill>
    <fill>
      <patternFill patternType="lightGray">
        <fgColor theme="5" tint="0.79998168889431442"/>
        <bgColor theme="0"/>
      </patternFill>
    </fill>
    <fill>
      <patternFill patternType="solid">
        <fgColor theme="1" tint="0.89999084444715716"/>
        <bgColor indexed="64"/>
      </patternFill>
    </fill>
    <fill>
      <patternFill patternType="solid">
        <fgColor theme="9" tint="0.79998168889431442"/>
        <bgColor indexed="64"/>
      </patternFill>
    </fill>
    <fill>
      <patternFill patternType="solid">
        <fgColor theme="0" tint="-4.9989318521683403E-2"/>
        <bgColor indexed="64"/>
      </patternFill>
    </fill>
    <fill>
      <patternFill patternType="lightGray">
        <fgColor theme="5" tint="0.79998168889431442"/>
        <bgColor theme="9" tint="0.79998168889431442"/>
      </patternFill>
    </fill>
    <fill>
      <patternFill patternType="solid">
        <fgColor theme="7" tint="0.79998168889431442"/>
        <bgColor indexed="64"/>
      </patternFill>
    </fill>
  </fills>
  <borders count="13">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alignment vertical="top"/>
      <protection locked="0"/>
    </xf>
    <xf numFmtId="0" fontId="8" fillId="0" borderId="0"/>
  </cellStyleXfs>
  <cellXfs count="130">
    <xf numFmtId="0" fontId="0" fillId="0" borderId="0" xfId="0"/>
    <xf numFmtId="0" fontId="2" fillId="0" borderId="0" xfId="0" applyFont="1"/>
    <xf numFmtId="0" fontId="2" fillId="0" borderId="0" xfId="0" applyFont="1" applyAlignment="1">
      <alignment horizontal="center"/>
    </xf>
    <xf numFmtId="0" fontId="2" fillId="0" borderId="0" xfId="0" applyFont="1" applyAlignment="1"/>
    <xf numFmtId="0" fontId="2" fillId="2" borderId="0" xfId="0" applyFont="1" applyFill="1"/>
    <xf numFmtId="0" fontId="2" fillId="3" borderId="0" xfId="0" applyFont="1" applyFill="1"/>
    <xf numFmtId="0" fontId="2" fillId="3" borderId="0" xfId="0" applyFont="1" applyFill="1" applyAlignment="1">
      <alignment horizontal="center"/>
    </xf>
    <xf numFmtId="0" fontId="3" fillId="4" borderId="0" xfId="0" applyFont="1" applyFill="1" applyAlignment="1">
      <alignment horizontal="left"/>
    </xf>
    <xf numFmtId="0" fontId="2" fillId="4" borderId="0" xfId="0" applyFont="1" applyFill="1"/>
    <xf numFmtId="0" fontId="2" fillId="4" borderId="0" xfId="0" applyFont="1" applyFill="1" applyAlignment="1">
      <alignment horizontal="center"/>
    </xf>
    <xf numFmtId="0" fontId="5" fillId="4" borderId="0" xfId="0" applyFont="1" applyFill="1" applyAlignment="1">
      <alignment horizontal="center"/>
    </xf>
    <xf numFmtId="0" fontId="2" fillId="3" borderId="3" xfId="0" applyFont="1" applyFill="1" applyBorder="1" applyAlignment="1">
      <alignment horizontal="right"/>
    </xf>
    <xf numFmtId="0" fontId="2" fillId="3" borderId="4" xfId="0" applyFont="1" applyFill="1" applyBorder="1" applyAlignment="1">
      <alignment horizontal="right"/>
    </xf>
    <xf numFmtId="0" fontId="2" fillId="3" borderId="6" xfId="0" applyFont="1" applyFill="1" applyBorder="1" applyAlignment="1">
      <alignment horizontal="right"/>
    </xf>
    <xf numFmtId="0" fontId="2" fillId="3" borderId="0" xfId="0" applyFont="1" applyFill="1" applyBorder="1"/>
    <xf numFmtId="0" fontId="2" fillId="3" borderId="0" xfId="0" applyFont="1" applyFill="1" applyBorder="1" applyAlignment="1">
      <alignment horizontal="right"/>
    </xf>
    <xf numFmtId="0" fontId="2" fillId="3" borderId="8" xfId="0" applyFont="1" applyFill="1" applyBorder="1" applyAlignment="1">
      <alignment horizontal="right"/>
    </xf>
    <xf numFmtId="0" fontId="2" fillId="3" borderId="9" xfId="0" applyFont="1" applyFill="1" applyBorder="1" applyAlignment="1">
      <alignment horizontal="right"/>
    </xf>
    <xf numFmtId="0" fontId="2" fillId="3" borderId="0" xfId="0" applyFont="1" applyFill="1" applyBorder="1" applyAlignment="1">
      <alignment horizontal="center"/>
    </xf>
    <xf numFmtId="0" fontId="3" fillId="3" borderId="0" xfId="0" applyFont="1" applyFill="1" applyBorder="1"/>
    <xf numFmtId="164" fontId="3" fillId="3" borderId="0" xfId="0" applyNumberFormat="1" applyFont="1" applyFill="1" applyBorder="1" applyAlignment="1">
      <alignment horizontal="left"/>
    </xf>
    <xf numFmtId="0" fontId="4" fillId="3" borderId="0" xfId="1" applyFont="1" applyFill="1" applyBorder="1" applyAlignment="1" applyProtection="1">
      <alignment horizontal="center"/>
    </xf>
    <xf numFmtId="0" fontId="4" fillId="3" borderId="0" xfId="1" applyFont="1" applyFill="1" applyBorder="1" applyAlignment="1" applyProtection="1">
      <alignment horizontal="right"/>
    </xf>
    <xf numFmtId="0" fontId="1" fillId="3" borderId="0" xfId="1" applyFill="1" applyBorder="1" applyAlignment="1" applyProtection="1">
      <alignment horizontal="center"/>
    </xf>
    <xf numFmtId="0" fontId="3" fillId="3" borderId="0" xfId="0" applyFont="1" applyFill="1" applyBorder="1" applyAlignment="1">
      <alignment horizontal="left"/>
    </xf>
    <xf numFmtId="0" fontId="6" fillId="3" borderId="2" xfId="0" applyFont="1" applyFill="1" applyBorder="1" applyAlignment="1">
      <alignment horizontal="right"/>
    </xf>
    <xf numFmtId="0" fontId="7" fillId="3" borderId="2" xfId="0" applyFont="1" applyFill="1" applyBorder="1" applyAlignment="1">
      <alignment horizontal="right"/>
    </xf>
    <xf numFmtId="0" fontId="3" fillId="3" borderId="1" xfId="0" applyFont="1" applyFill="1" applyBorder="1"/>
    <xf numFmtId="164" fontId="3" fillId="3" borderId="1" xfId="0" applyNumberFormat="1" applyFont="1" applyFill="1" applyBorder="1" applyAlignment="1">
      <alignment horizontal="left"/>
    </xf>
    <xf numFmtId="0" fontId="5" fillId="3" borderId="0" xfId="0" applyFont="1" applyFill="1" applyBorder="1" applyAlignment="1">
      <alignment horizontal="left"/>
    </xf>
    <xf numFmtId="0" fontId="3" fillId="5" borderId="4" xfId="0" applyFont="1" applyFill="1" applyBorder="1" applyAlignment="1">
      <alignment horizontal="left"/>
    </xf>
    <xf numFmtId="0" fontId="2" fillId="5" borderId="4" xfId="0" applyFont="1" applyFill="1" applyBorder="1"/>
    <xf numFmtId="0" fontId="3" fillId="5" borderId="0" xfId="0" applyFont="1" applyFill="1" applyBorder="1" applyAlignment="1">
      <alignment horizontal="left"/>
    </xf>
    <xf numFmtId="0" fontId="2" fillId="5" borderId="0" xfId="0" applyFont="1" applyFill="1" applyBorder="1"/>
    <xf numFmtId="0" fontId="3" fillId="5" borderId="9" xfId="0" applyFont="1" applyFill="1" applyBorder="1" applyAlignment="1">
      <alignment horizontal="left"/>
    </xf>
    <xf numFmtId="0" fontId="2" fillId="5" borderId="9" xfId="0" applyFont="1" applyFill="1" applyBorder="1"/>
    <xf numFmtId="164" fontId="2" fillId="6" borderId="5" xfId="0" applyNumberFormat="1" applyFont="1" applyFill="1" applyBorder="1" applyAlignment="1">
      <alignment horizontal="left"/>
    </xf>
    <xf numFmtId="164" fontId="2" fillId="6" borderId="7" xfId="0" applyNumberFormat="1" applyFont="1" applyFill="1" applyBorder="1" applyAlignment="1">
      <alignment horizontal="left"/>
    </xf>
    <xf numFmtId="164" fontId="2" fillId="6" borderId="10" xfId="0" applyNumberFormat="1" applyFont="1" applyFill="1" applyBorder="1" applyAlignment="1">
      <alignment horizontal="left"/>
    </xf>
    <xf numFmtId="0" fontId="9" fillId="0" borderId="0" xfId="0" applyFont="1" applyProtection="1">
      <protection locked="0"/>
    </xf>
    <xf numFmtId="2" fontId="10" fillId="0" borderId="0" xfId="0" applyNumberFormat="1" applyFont="1" applyAlignment="1" applyProtection="1">
      <alignment horizontal="center"/>
      <protection locked="0"/>
    </xf>
    <xf numFmtId="2" fontId="11" fillId="0" borderId="0" xfId="0" applyNumberFormat="1" applyFont="1" applyAlignment="1" applyProtection="1">
      <alignment horizontal="left"/>
      <protection locked="0"/>
    </xf>
    <xf numFmtId="11" fontId="6" fillId="0" borderId="0" xfId="0" applyNumberFormat="1" applyFont="1" applyAlignment="1">
      <alignment horizontal="center" wrapText="1"/>
    </xf>
    <xf numFmtId="11" fontId="6" fillId="0" borderId="0" xfId="0" quotePrefix="1" applyNumberFormat="1" applyFont="1" applyAlignment="1">
      <alignment horizontal="center" wrapText="1"/>
    </xf>
    <xf numFmtId="11" fontId="9" fillId="0" borderId="0" xfId="0" applyNumberFormat="1" applyFont="1" applyProtection="1">
      <protection locked="0"/>
    </xf>
    <xf numFmtId="165" fontId="6" fillId="0" borderId="0" xfId="0" applyNumberFormat="1" applyFont="1" applyAlignment="1">
      <alignment horizontal="center" wrapText="1"/>
    </xf>
    <xf numFmtId="166" fontId="6" fillId="0" borderId="0" xfId="0" applyNumberFormat="1" applyFont="1" applyAlignment="1">
      <alignment horizontal="center"/>
    </xf>
    <xf numFmtId="0" fontId="6" fillId="0" borderId="0" xfId="0" applyFont="1" applyAlignment="1">
      <alignment horizontal="center"/>
    </xf>
    <xf numFmtId="167" fontId="6" fillId="0" borderId="0" xfId="0" applyNumberFormat="1" applyFont="1" applyAlignment="1">
      <alignment horizontal="center"/>
    </xf>
    <xf numFmtId="1" fontId="6" fillId="0" borderId="0" xfId="0" applyNumberFormat="1" applyFont="1" applyAlignment="1">
      <alignment horizontal="center"/>
    </xf>
    <xf numFmtId="0" fontId="9" fillId="0" borderId="0" xfId="0" applyFont="1"/>
    <xf numFmtId="168" fontId="6" fillId="0" borderId="0" xfId="0" applyNumberFormat="1" applyFont="1" applyAlignment="1">
      <alignment horizontal="center"/>
    </xf>
    <xf numFmtId="166" fontId="12" fillId="0" borderId="0" xfId="0" applyNumberFormat="1" applyFont="1" applyAlignment="1">
      <alignment horizontal="center"/>
    </xf>
    <xf numFmtId="166" fontId="12" fillId="0" borderId="0" xfId="0" quotePrefix="1" applyNumberFormat="1" applyFont="1" applyAlignment="1">
      <alignment horizontal="center"/>
    </xf>
    <xf numFmtId="2" fontId="12" fillId="0" borderId="0" xfId="0" applyNumberFormat="1" applyFont="1" applyAlignment="1">
      <alignment horizontal="center"/>
    </xf>
    <xf numFmtId="169" fontId="12" fillId="0" borderId="0" xfId="0" applyNumberFormat="1" applyFont="1" applyAlignment="1">
      <alignment horizontal="center"/>
    </xf>
    <xf numFmtId="1" fontId="0" fillId="0" borderId="0" xfId="0" applyNumberFormat="1" applyAlignment="1">
      <alignment horizontal="center"/>
    </xf>
    <xf numFmtId="0" fontId="3" fillId="4" borderId="0" xfId="0" applyFont="1" applyFill="1" applyAlignment="1">
      <alignment horizontal="center"/>
    </xf>
    <xf numFmtId="11" fontId="9" fillId="3" borderId="0" xfId="0" applyNumberFormat="1" applyFont="1" applyFill="1" applyProtection="1">
      <protection locked="0"/>
    </xf>
    <xf numFmtId="1" fontId="6" fillId="3" borderId="0" xfId="0" applyNumberFormat="1" applyFont="1" applyFill="1" applyAlignment="1">
      <alignment horizontal="center"/>
    </xf>
    <xf numFmtId="11" fontId="6" fillId="3" borderId="0" xfId="0" applyNumberFormat="1" applyFont="1" applyFill="1" applyAlignment="1">
      <alignment horizontal="center" wrapText="1"/>
    </xf>
    <xf numFmtId="1" fontId="9" fillId="3" borderId="0" xfId="0" applyNumberFormat="1" applyFont="1" applyFill="1" applyProtection="1">
      <protection locked="0"/>
    </xf>
    <xf numFmtId="0" fontId="6" fillId="3" borderId="0" xfId="0" applyFont="1" applyFill="1" applyAlignment="1" applyProtection="1">
      <alignment horizontal="center"/>
      <protection locked="0"/>
    </xf>
    <xf numFmtId="0" fontId="9" fillId="3" borderId="0" xfId="0" applyFont="1" applyFill="1" applyProtection="1">
      <protection locked="0"/>
    </xf>
    <xf numFmtId="2" fontId="6" fillId="3" borderId="0" xfId="0" applyNumberFormat="1" applyFont="1" applyFill="1" applyAlignment="1">
      <alignment horizontal="center"/>
    </xf>
    <xf numFmtId="0" fontId="6" fillId="3" borderId="0" xfId="0" applyFont="1" applyFill="1" applyAlignment="1">
      <alignment horizontal="center"/>
    </xf>
    <xf numFmtId="3" fontId="6" fillId="3" borderId="0" xfId="0" applyNumberFormat="1" applyFont="1" applyFill="1" applyAlignment="1">
      <alignment horizontal="center"/>
    </xf>
    <xf numFmtId="168" fontId="6" fillId="3" borderId="0" xfId="0" applyNumberFormat="1" applyFont="1" applyFill="1" applyAlignment="1">
      <alignment horizontal="center"/>
    </xf>
    <xf numFmtId="0" fontId="3" fillId="4" borderId="0" xfId="0" applyFont="1" applyFill="1" applyAlignment="1">
      <alignment horizontal="center" vertical="center"/>
    </xf>
    <xf numFmtId="0" fontId="2" fillId="8" borderId="0" xfId="0" applyFont="1" applyFill="1"/>
    <xf numFmtId="0" fontId="11" fillId="3" borderId="0" xfId="0" applyFont="1" applyFill="1" applyAlignment="1">
      <alignment horizontal="left"/>
    </xf>
    <xf numFmtId="169" fontId="6" fillId="0" borderId="0" xfId="0" applyNumberFormat="1" applyFont="1" applyAlignment="1">
      <alignment horizontal="center" wrapText="1"/>
    </xf>
    <xf numFmtId="1" fontId="6" fillId="0" borderId="0" xfId="0" applyNumberFormat="1" applyFont="1" applyAlignment="1">
      <alignment horizontal="center" wrapText="1"/>
    </xf>
    <xf numFmtId="0" fontId="9" fillId="4" borderId="0" xfId="0" applyFont="1" applyFill="1"/>
    <xf numFmtId="166" fontId="6" fillId="4" borderId="0" xfId="0" applyNumberFormat="1" applyFont="1" applyFill="1" applyAlignment="1">
      <alignment horizontal="center"/>
    </xf>
    <xf numFmtId="166" fontId="6" fillId="4" borderId="0" xfId="0" quotePrefix="1" applyNumberFormat="1" applyFont="1" applyFill="1" applyAlignment="1">
      <alignment horizontal="center"/>
    </xf>
    <xf numFmtId="0" fontId="6" fillId="4" borderId="0" xfId="0" applyFont="1" applyFill="1" applyAlignment="1">
      <alignment horizontal="center"/>
    </xf>
    <xf numFmtId="1" fontId="6" fillId="4" borderId="0" xfId="0" applyNumberFormat="1" applyFont="1" applyFill="1" applyAlignment="1">
      <alignment horizontal="center"/>
    </xf>
    <xf numFmtId="0" fontId="9" fillId="9" borderId="0" xfId="0" applyFont="1" applyFill="1"/>
    <xf numFmtId="1" fontId="6" fillId="9" borderId="0" xfId="0" applyNumberFormat="1" applyFont="1" applyFill="1" applyAlignment="1">
      <alignment horizontal="center"/>
    </xf>
    <xf numFmtId="0" fontId="2" fillId="9" borderId="0" xfId="0" applyFont="1" applyFill="1"/>
    <xf numFmtId="1" fontId="6" fillId="4" borderId="0" xfId="0" quotePrefix="1" applyNumberFormat="1" applyFont="1" applyFill="1" applyAlignment="1">
      <alignment horizontal="center"/>
    </xf>
    <xf numFmtId="2" fontId="6" fillId="4" borderId="0" xfId="0" applyNumberFormat="1" applyFont="1" applyFill="1" applyAlignment="1">
      <alignment horizontal="center"/>
    </xf>
    <xf numFmtId="166" fontId="6" fillId="9" borderId="0" xfId="0" quotePrefix="1" applyNumberFormat="1" applyFont="1" applyFill="1" applyAlignment="1">
      <alignment horizontal="center"/>
    </xf>
    <xf numFmtId="0" fontId="6" fillId="9" borderId="0" xfId="0" applyFont="1" applyFill="1" applyAlignment="1">
      <alignment horizontal="center"/>
    </xf>
    <xf numFmtId="2" fontId="6" fillId="9" borderId="0" xfId="0" applyNumberFormat="1" applyFont="1" applyFill="1" applyAlignment="1">
      <alignment horizontal="center"/>
    </xf>
    <xf numFmtId="0" fontId="14" fillId="9" borderId="0" xfId="0" applyFont="1" applyFill="1" applyAlignment="1">
      <alignment horizontal="center"/>
    </xf>
    <xf numFmtId="2" fontId="15" fillId="9" borderId="0" xfId="0" applyNumberFormat="1" applyFont="1" applyFill="1" applyAlignment="1">
      <alignment horizontal="center"/>
    </xf>
    <xf numFmtId="0" fontId="15" fillId="9" borderId="0" xfId="0" applyFont="1" applyFill="1" applyAlignment="1">
      <alignment horizontal="center"/>
    </xf>
    <xf numFmtId="0" fontId="10" fillId="9" borderId="0" xfId="0" applyFont="1" applyFill="1" applyAlignment="1">
      <alignment horizontal="center"/>
    </xf>
    <xf numFmtId="2" fontId="13" fillId="9" borderId="0" xfId="0" applyNumberFormat="1" applyFont="1" applyFill="1" applyAlignment="1">
      <alignment horizontal="center" vertical="top"/>
    </xf>
    <xf numFmtId="2" fontId="13" fillId="9" borderId="0" xfId="0" applyNumberFormat="1" applyFont="1" applyFill="1" applyAlignment="1">
      <alignment horizontal="left" vertical="top" wrapText="1"/>
    </xf>
    <xf numFmtId="2" fontId="12" fillId="9" borderId="0" xfId="0" applyNumberFormat="1" applyFont="1" applyFill="1" applyAlignment="1">
      <alignment horizontal="center"/>
    </xf>
    <xf numFmtId="0" fontId="13" fillId="9" borderId="0" xfId="0" applyFont="1" applyFill="1" applyAlignment="1">
      <alignment horizontal="center"/>
    </xf>
    <xf numFmtId="2" fontId="13" fillId="9" borderId="0" xfId="0" applyNumberFormat="1" applyFont="1" applyFill="1" applyAlignment="1">
      <alignment horizontal="left"/>
    </xf>
    <xf numFmtId="2" fontId="13" fillId="9" borderId="0" xfId="0" applyNumberFormat="1" applyFont="1" applyFill="1" applyAlignment="1">
      <alignment horizontal="center"/>
    </xf>
    <xf numFmtId="1" fontId="0" fillId="9" borderId="0" xfId="0" applyNumberFormat="1" applyFill="1"/>
    <xf numFmtId="2" fontId="16" fillId="4" borderId="0" xfId="0" applyNumberFormat="1" applyFont="1" applyFill="1" applyAlignment="1">
      <alignment horizontal="center"/>
    </xf>
    <xf numFmtId="2" fontId="16" fillId="4" borderId="0" xfId="0" applyNumberFormat="1" applyFont="1" applyFill="1"/>
    <xf numFmtId="2" fontId="12" fillId="4" borderId="0" xfId="0" applyNumberFormat="1" applyFont="1" applyFill="1" applyAlignment="1">
      <alignment horizontal="center"/>
    </xf>
    <xf numFmtId="168" fontId="0" fillId="4" borderId="0" xfId="0" applyNumberFormat="1" applyFill="1" applyAlignment="1">
      <alignment horizontal="center"/>
    </xf>
    <xf numFmtId="0" fontId="2" fillId="10" borderId="0" xfId="0" applyFont="1" applyFill="1"/>
    <xf numFmtId="0" fontId="7" fillId="3" borderId="0" xfId="0" applyFont="1" applyFill="1" applyBorder="1" applyAlignment="1">
      <alignment horizontal="right"/>
    </xf>
    <xf numFmtId="0" fontId="3" fillId="3" borderId="12" xfId="0" applyFont="1" applyFill="1" applyBorder="1"/>
    <xf numFmtId="164" fontId="3" fillId="3" borderId="12" xfId="0" applyNumberFormat="1" applyFont="1" applyFill="1" applyBorder="1" applyAlignment="1">
      <alignment horizontal="left"/>
    </xf>
    <xf numFmtId="0" fontId="2" fillId="12" borderId="0" xfId="0" applyFont="1" applyFill="1"/>
    <xf numFmtId="0" fontId="6" fillId="3" borderId="2" xfId="2" applyFont="1" applyFill="1" applyBorder="1" applyAlignment="1">
      <alignment horizontal="right"/>
    </xf>
    <xf numFmtId="0" fontId="7" fillId="3" borderId="2" xfId="2" applyFont="1" applyFill="1" applyBorder="1" applyAlignment="1">
      <alignment horizontal="right"/>
    </xf>
    <xf numFmtId="0" fontId="3" fillId="3" borderId="1" xfId="2" applyFont="1" applyFill="1" applyBorder="1"/>
    <xf numFmtId="0" fontId="2" fillId="0" borderId="0" xfId="2" applyFont="1"/>
    <xf numFmtId="164" fontId="3" fillId="3" borderId="1" xfId="2" applyNumberFormat="1" applyFont="1" applyFill="1" applyBorder="1" applyAlignment="1">
      <alignment horizontal="left"/>
    </xf>
    <xf numFmtId="0" fontId="5" fillId="3" borderId="0" xfId="2" applyFont="1" applyFill="1" applyAlignment="1">
      <alignment horizontal="left"/>
    </xf>
    <xf numFmtId="0" fontId="2" fillId="3" borderId="0" xfId="2" applyFont="1" applyFill="1"/>
    <xf numFmtId="0" fontId="2" fillId="3" borderId="0" xfId="2" applyFont="1" applyFill="1" applyAlignment="1">
      <alignment horizontal="right"/>
    </xf>
    <xf numFmtId="0" fontId="3" fillId="3" borderId="0" xfId="2" applyFont="1" applyFill="1"/>
    <xf numFmtId="164" fontId="3" fillId="3" borderId="0" xfId="2" applyNumberFormat="1" applyFont="1" applyFill="1" applyAlignment="1">
      <alignment horizontal="left"/>
    </xf>
    <xf numFmtId="0" fontId="2" fillId="4" borderId="0" xfId="2" applyFont="1" applyFill="1"/>
    <xf numFmtId="0" fontId="3" fillId="3" borderId="11" xfId="0" applyFont="1" applyFill="1" applyBorder="1" applyAlignment="1">
      <alignment horizontal="left"/>
    </xf>
    <xf numFmtId="0" fontId="0" fillId="3" borderId="11" xfId="0" applyFill="1" applyBorder="1" applyAlignment="1"/>
    <xf numFmtId="0" fontId="2" fillId="7" borderId="11" xfId="0" applyFont="1" applyFill="1" applyBorder="1" applyAlignment="1"/>
    <xf numFmtId="0" fontId="2" fillId="7" borderId="1" xfId="0" applyFont="1" applyFill="1" applyBorder="1" applyAlignment="1"/>
    <xf numFmtId="0" fontId="0" fillId="3" borderId="11" xfId="0" applyFill="1" applyBorder="1"/>
    <xf numFmtId="0" fontId="0" fillId="9" borderId="11" xfId="0" applyFill="1" applyBorder="1"/>
    <xf numFmtId="0" fontId="2" fillId="7" borderId="11" xfId="0" applyFont="1" applyFill="1" applyBorder="1"/>
    <xf numFmtId="0" fontId="2" fillId="11" borderId="11" xfId="0" applyFont="1" applyFill="1" applyBorder="1"/>
    <xf numFmtId="0" fontId="2" fillId="7" borderId="1" xfId="0" applyFont="1" applyFill="1" applyBorder="1"/>
    <xf numFmtId="0" fontId="3" fillId="3" borderId="11" xfId="2" applyFont="1" applyFill="1" applyBorder="1" applyAlignment="1">
      <alignment horizontal="left"/>
    </xf>
    <xf numFmtId="0" fontId="8" fillId="3" borderId="11" xfId="2" applyFill="1" applyBorder="1"/>
    <xf numFmtId="0" fontId="2" fillId="7" borderId="11" xfId="2" applyFont="1" applyFill="1" applyBorder="1"/>
    <xf numFmtId="0" fontId="2" fillId="7" borderId="1" xfId="2" applyFont="1" applyFill="1" applyBorder="1"/>
  </cellXfs>
  <cellStyles count="3">
    <cellStyle name="Hyperlink" xfId="1" builtinId="8"/>
    <cellStyle name="Normal" xfId="0" builtinId="0"/>
    <cellStyle name="Normal 2" xfId="2" xr:uid="{B20BCF91-6445-4BAE-9ED3-3D842ECB5E4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0</xdr:colOff>
      <xdr:row>5</xdr:row>
      <xdr:rowOff>0</xdr:rowOff>
    </xdr:to>
    <xdr:grpSp>
      <xdr:nvGrpSpPr>
        <xdr:cNvPr id="3" name="Group 2">
          <a:extLst>
            <a:ext uri="{FF2B5EF4-FFF2-40B4-BE49-F238E27FC236}">
              <a16:creationId xmlns:a16="http://schemas.microsoft.com/office/drawing/2014/main" id="{00000000-0008-0000-0000-000003000000}"/>
            </a:ext>
          </a:extLst>
        </xdr:cNvPr>
        <xdr:cNvGrpSpPr/>
      </xdr:nvGrpSpPr>
      <xdr:grpSpPr>
        <a:xfrm>
          <a:off x="0" y="0"/>
          <a:ext cx="9258300" cy="889000"/>
          <a:chOff x="0" y="0"/>
          <a:chExt cx="8953500" cy="904875"/>
        </a:xfrm>
        <a:solidFill>
          <a:schemeClr val="accent2">
            <a:lumMod val="20000"/>
            <a:lumOff val="80000"/>
          </a:schemeClr>
        </a:solidFill>
      </xdr:grpSpPr>
      <xdr:grpSp>
        <xdr:nvGrpSpPr>
          <xdr:cNvPr id="1039" name="Group 15">
            <a:extLst>
              <a:ext uri="{FF2B5EF4-FFF2-40B4-BE49-F238E27FC236}">
                <a16:creationId xmlns:a16="http://schemas.microsoft.com/office/drawing/2014/main" id="{00000000-0008-0000-0000-00000F040000}"/>
              </a:ext>
            </a:extLst>
          </xdr:cNvPr>
          <xdr:cNvGrpSpPr>
            <a:grpSpLocks/>
          </xdr:cNvGrpSpPr>
        </xdr:nvGrpSpPr>
        <xdr:grpSpPr bwMode="auto">
          <a:xfrm>
            <a:off x="0" y="0"/>
            <a:ext cx="8953500" cy="904875"/>
            <a:chOff x="0" y="0"/>
            <a:chExt cx="940" cy="95"/>
          </a:xfrm>
          <a:grpFill/>
        </xdr:grpSpPr>
        <xdr:sp macro="" textlink="">
          <xdr:nvSpPr>
            <xdr:cNvPr id="1026" name="Rectangle 2">
              <a:extLst>
                <a:ext uri="{FF2B5EF4-FFF2-40B4-BE49-F238E27FC236}">
                  <a16:creationId xmlns:a16="http://schemas.microsoft.com/office/drawing/2014/main" id="{00000000-0008-0000-0000-000002040000}"/>
                </a:ext>
              </a:extLst>
            </xdr:cNvPr>
            <xdr:cNvSpPr>
              <a:spLocks noChangeArrowheads="1"/>
            </xdr:cNvSpPr>
          </xdr:nvSpPr>
          <xdr:spPr bwMode="auto">
            <a:xfrm>
              <a:off x="0" y="0"/>
              <a:ext cx="940" cy="95"/>
            </a:xfrm>
            <a:prstGeom prst="rect">
              <a:avLst/>
            </a:prstGeom>
            <a:grpFill/>
            <a:ln w="9525">
              <a:solidFill>
                <a:srgbClr xmlns:mc="http://schemas.openxmlformats.org/markup-compatibility/2006" xmlns:a14="http://schemas.microsoft.com/office/drawing/2010/main" val="003366" mc:Ignorable="a14" a14:legacySpreadsheetColorIndex="56"/>
              </a:solidFill>
              <a:miter lim="800000"/>
              <a:headEnd/>
              <a:tailEnd/>
            </a:ln>
          </xdr:spPr>
          <xdr:txBody>
            <a:bodyPr/>
            <a:lstStyle/>
            <a:p>
              <a:endParaRPr lang="en-GB"/>
            </a:p>
          </xdr:txBody>
        </xdr:sp>
        <xdr:sp macro="" textlink="">
          <xdr:nvSpPr>
            <xdr:cNvPr id="1028" name="WordArt 4">
              <a:extLst>
                <a:ext uri="{FF2B5EF4-FFF2-40B4-BE49-F238E27FC236}">
                  <a16:creationId xmlns:a16="http://schemas.microsoft.com/office/drawing/2014/main" id="{00000000-0008-0000-0000-000004040000}"/>
                </a:ext>
              </a:extLst>
            </xdr:cNvPr>
            <xdr:cNvSpPr>
              <a:spLocks noChangeArrowheads="1" noChangeShapeType="1" noTextEdit="1"/>
            </xdr:cNvSpPr>
          </xdr:nvSpPr>
          <xdr:spPr bwMode="auto">
            <a:xfrm>
              <a:off x="29" y="15"/>
              <a:ext cx="325" cy="64"/>
            </a:xfrm>
            <a:prstGeom prst="rect">
              <a:avLst/>
            </a:prstGeom>
            <a:grpFill/>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GB" sz="3600" kern="10" spc="0">
                  <a:ln w="9525">
                    <a:solidFill>
                      <a:srgbClr xmlns:mc="http://schemas.openxmlformats.org/markup-compatibility/2006" xmlns:a14="http://schemas.microsoft.com/office/drawing/2010/main" val="003366" mc:Ignorable="a14" a14:legacySpreadsheetColorIndex="56"/>
                    </a:solidFill>
                    <a:round/>
                    <a:headEnd/>
                    <a:tailEnd/>
                  </a:ln>
                  <a:noFill/>
                  <a:effectLst/>
                  <a:latin typeface="Arial Black" panose="020B0A04020102020204" pitchFamily="34" charset="0"/>
                </a:rPr>
                <a:t>Introduction</a:t>
              </a:r>
            </a:p>
          </xdr:txBody>
        </xdr:sp>
      </xdr:grpSp>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01894" y="17488"/>
            <a:ext cx="784931" cy="849287"/>
          </a:xfrm>
          <a:prstGeom prst="rect">
            <a:avLst/>
          </a:prstGeom>
          <a:grpFill/>
        </xdr:spPr>
      </xdr:pic>
    </xdr:grpSp>
    <xdr:clientData/>
  </xdr:twoCellAnchor>
</xdr:wsDr>
</file>

<file path=xl/theme/theme1.xml><?xml version="1.0" encoding="utf-8"?>
<a:theme xmlns:a="http://schemas.openxmlformats.org/drawingml/2006/main" name="CoastalSEA">
  <a:themeElements>
    <a:clrScheme name="Custom 2">
      <a:dk1>
        <a:srgbClr val="222A35"/>
      </a:dk1>
      <a:lt1>
        <a:sysClr val="window" lastClr="FFFFFF"/>
      </a:lt1>
      <a:dk2>
        <a:srgbClr val="44546A"/>
      </a:dk2>
      <a:lt2>
        <a:srgbClr val="D6DCE4"/>
      </a:lt2>
      <a:accent1>
        <a:srgbClr val="2F5496"/>
      </a:accent1>
      <a:accent2>
        <a:srgbClr val="48A1FA"/>
      </a:accent2>
      <a:accent3>
        <a:srgbClr val="FFC000"/>
      </a:accent3>
      <a:accent4>
        <a:srgbClr val="ED7D31"/>
      </a:accent4>
      <a:accent5>
        <a:srgbClr val="C00000"/>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CoastalSEA" id="{E6E4E02F-0764-497F-BB46-70F10D23B65F}" vid="{FAE35543-108D-424F-990A-582CAF134412}"/>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79"/>
  <sheetViews>
    <sheetView tabSelected="1" topLeftCell="B1" workbookViewId="0">
      <pane ySplit="12" topLeftCell="A13" activePane="bottomLeft" state="frozen"/>
      <selection pane="bottomLeft" activeCell="N9" sqref="N9"/>
    </sheetView>
  </sheetViews>
  <sheetFormatPr defaultColWidth="9" defaultRowHeight="14" x14ac:dyDescent="0.3"/>
  <cols>
    <col min="1" max="1" width="0" style="1" hidden="1" customWidth="1"/>
    <col min="2" max="2" width="6.5" style="2" customWidth="1"/>
    <col min="3" max="3" width="27.08203125" style="1" customWidth="1"/>
    <col min="4" max="4" width="47.83203125" style="1" customWidth="1"/>
    <col min="5" max="5" width="13.08203125" style="1" customWidth="1"/>
    <col min="6" max="16384" width="9" style="1"/>
  </cols>
  <sheetData>
    <row r="1" spans="1:8" x14ac:dyDescent="0.3">
      <c r="A1" s="4"/>
      <c r="B1" s="6"/>
      <c r="C1" s="5"/>
      <c r="D1" s="5"/>
      <c r="E1" s="5"/>
      <c r="F1" s="5"/>
      <c r="G1" s="5"/>
      <c r="H1" s="5"/>
    </row>
    <row r="2" spans="1:8" x14ac:dyDescent="0.3">
      <c r="A2" s="4"/>
      <c r="B2" s="6"/>
      <c r="C2" s="5"/>
      <c r="D2" s="5"/>
      <c r="E2" s="5"/>
      <c r="F2" s="5"/>
      <c r="G2" s="5"/>
      <c r="H2" s="5"/>
    </row>
    <row r="3" spans="1:8" x14ac:dyDescent="0.3">
      <c r="A3" s="4"/>
      <c r="B3" s="6"/>
      <c r="C3" s="5"/>
      <c r="D3" s="5"/>
      <c r="E3" s="5"/>
      <c r="F3" s="5"/>
      <c r="G3" s="5"/>
      <c r="H3" s="5"/>
    </row>
    <row r="4" spans="1:8" x14ac:dyDescent="0.3">
      <c r="A4" s="4"/>
      <c r="B4" s="6"/>
      <c r="C4" s="5"/>
      <c r="D4" s="5"/>
      <c r="E4" s="5"/>
      <c r="F4" s="5"/>
      <c r="G4" s="5"/>
      <c r="H4" s="5"/>
    </row>
    <row r="5" spans="1:8" x14ac:dyDescent="0.3">
      <c r="A5" s="4"/>
      <c r="B5" s="6"/>
      <c r="C5" s="5"/>
      <c r="D5" s="5"/>
      <c r="E5" s="5"/>
      <c r="F5" s="5"/>
      <c r="G5" s="5"/>
      <c r="H5" s="5"/>
    </row>
    <row r="6" spans="1:8" x14ac:dyDescent="0.3">
      <c r="A6" s="4"/>
      <c r="B6" s="11" t="s">
        <v>26</v>
      </c>
      <c r="C6" s="30" t="s">
        <v>0</v>
      </c>
      <c r="D6" s="31"/>
      <c r="E6" s="12" t="s">
        <v>1</v>
      </c>
      <c r="F6" s="31" t="s">
        <v>25</v>
      </c>
      <c r="G6" s="12" t="s">
        <v>2</v>
      </c>
      <c r="H6" s="36">
        <v>36892</v>
      </c>
    </row>
    <row r="7" spans="1:8" x14ac:dyDescent="0.3">
      <c r="A7" s="4"/>
      <c r="B7" s="13" t="s">
        <v>29</v>
      </c>
      <c r="C7" s="32" t="s">
        <v>33</v>
      </c>
      <c r="D7" s="33"/>
      <c r="E7" s="15" t="s">
        <v>27</v>
      </c>
      <c r="F7" s="33" t="s">
        <v>31</v>
      </c>
      <c r="G7" s="15" t="s">
        <v>2</v>
      </c>
      <c r="H7" s="37">
        <v>36892</v>
      </c>
    </row>
    <row r="8" spans="1:8" x14ac:dyDescent="0.3">
      <c r="A8" s="4"/>
      <c r="B8" s="16" t="s">
        <v>30</v>
      </c>
      <c r="C8" s="34" t="s">
        <v>34</v>
      </c>
      <c r="D8" s="35"/>
      <c r="E8" s="17" t="s">
        <v>28</v>
      </c>
      <c r="F8" s="35" t="s">
        <v>32</v>
      </c>
      <c r="G8" s="17" t="s">
        <v>2</v>
      </c>
      <c r="H8" s="38">
        <v>36892</v>
      </c>
    </row>
    <row r="9" spans="1:8" x14ac:dyDescent="0.3">
      <c r="A9" s="4"/>
      <c r="B9" s="18"/>
      <c r="C9" s="14"/>
      <c r="D9" s="5"/>
      <c r="E9" s="15"/>
      <c r="F9" s="19"/>
      <c r="G9" s="15"/>
      <c r="H9" s="20"/>
    </row>
    <row r="10" spans="1:8" x14ac:dyDescent="0.3">
      <c r="A10" s="4"/>
      <c r="B10" s="18"/>
      <c r="C10" s="21" t="s">
        <v>3</v>
      </c>
      <c r="D10" s="21" t="s">
        <v>4</v>
      </c>
      <c r="E10" s="22" t="s">
        <v>5</v>
      </c>
      <c r="F10" s="5"/>
      <c r="G10" s="15"/>
      <c r="H10" s="20"/>
    </row>
    <row r="11" spans="1:8" ht="15.5" x14ac:dyDescent="0.35">
      <c r="A11" s="4"/>
      <c r="B11" s="18"/>
      <c r="C11" s="21" t="s">
        <v>6</v>
      </c>
      <c r="D11" s="21" t="s">
        <v>7</v>
      </c>
      <c r="E11" s="23" t="s">
        <v>36</v>
      </c>
      <c r="F11" s="5"/>
      <c r="G11" s="15"/>
      <c r="H11" s="20"/>
    </row>
    <row r="12" spans="1:8" x14ac:dyDescent="0.3">
      <c r="A12" s="4"/>
      <c r="B12" s="18"/>
      <c r="C12" s="24"/>
      <c r="D12" s="5"/>
      <c r="E12" s="15"/>
      <c r="F12" s="19"/>
      <c r="G12" s="15"/>
      <c r="H12" s="20"/>
    </row>
    <row r="13" spans="1:8" s="8" customFormat="1" x14ac:dyDescent="0.3">
      <c r="B13" s="7" t="s">
        <v>8</v>
      </c>
    </row>
    <row r="14" spans="1:8" s="8" customFormat="1" x14ac:dyDescent="0.3">
      <c r="B14" s="9"/>
      <c r="C14" s="10" t="s">
        <v>9</v>
      </c>
      <c r="D14" s="10" t="s">
        <v>10</v>
      </c>
    </row>
    <row r="15" spans="1:8" x14ac:dyDescent="0.3">
      <c r="B15" s="2">
        <v>1</v>
      </c>
      <c r="C15" s="1" t="s">
        <v>47</v>
      </c>
      <c r="D15" s="1" t="str">
        <f ca="1">INDIRECT(CONCATENATE("'",C15,"'","!d2"),TRUE)</f>
        <v>Asmita element input data</v>
      </c>
    </row>
    <row r="16" spans="1:8" x14ac:dyDescent="0.3">
      <c r="B16" s="2">
        <v>2</v>
      </c>
      <c r="C16" s="1" t="s">
        <v>48</v>
      </c>
      <c r="D16" s="1" t="str">
        <f ca="1">INDIRECT(CONCATENATE("'",C16,"'","!d2"),TRUE)</f>
        <v>sample of content</v>
      </c>
    </row>
    <row r="17" spans="2:4" x14ac:dyDescent="0.3">
      <c r="B17" s="2">
        <v>3</v>
      </c>
      <c r="C17" s="1" t="s">
        <v>49</v>
      </c>
      <c r="D17" s="1" t="str">
        <f ca="1">INDIRECT(CONCATENATE("'",C17,"'","!d2"),TRUE)</f>
        <v>Collate data to define element input table to load into Asmita</v>
      </c>
    </row>
    <row r="18" spans="2:4" x14ac:dyDescent="0.3">
      <c r="B18" s="2">
        <v>4</v>
      </c>
    </row>
    <row r="19" spans="2:4" x14ac:dyDescent="0.3">
      <c r="B19" s="2">
        <v>5</v>
      </c>
    </row>
    <row r="21" spans="2:4" s="8" customFormat="1" x14ac:dyDescent="0.3">
      <c r="B21" s="7" t="s">
        <v>11</v>
      </c>
    </row>
    <row r="22" spans="2:4" s="8" customFormat="1" x14ac:dyDescent="0.3">
      <c r="B22" s="9"/>
      <c r="C22" s="10" t="s">
        <v>12</v>
      </c>
      <c r="D22" s="10" t="s">
        <v>13</v>
      </c>
    </row>
    <row r="23" spans="2:4" x14ac:dyDescent="0.3">
      <c r="B23" s="2">
        <v>1</v>
      </c>
    </row>
    <row r="24" spans="2:4" x14ac:dyDescent="0.3">
      <c r="B24" s="2">
        <v>2</v>
      </c>
    </row>
    <row r="25" spans="2:4" x14ac:dyDescent="0.3">
      <c r="B25" s="2">
        <v>3</v>
      </c>
    </row>
    <row r="26" spans="2:4" x14ac:dyDescent="0.3">
      <c r="B26" s="2">
        <v>4</v>
      </c>
    </row>
    <row r="27" spans="2:4" x14ac:dyDescent="0.3">
      <c r="B27" s="2">
        <v>5</v>
      </c>
    </row>
    <row r="29" spans="2:4" s="8" customFormat="1" x14ac:dyDescent="0.3">
      <c r="B29" s="7" t="s">
        <v>14</v>
      </c>
    </row>
    <row r="30" spans="2:4" s="8" customFormat="1" x14ac:dyDescent="0.3">
      <c r="B30" s="9"/>
      <c r="C30" s="10" t="s">
        <v>15</v>
      </c>
      <c r="D30" s="10" t="s">
        <v>16</v>
      </c>
    </row>
    <row r="31" spans="2:4" x14ac:dyDescent="0.3">
      <c r="B31" s="2">
        <v>1</v>
      </c>
    </row>
    <row r="32" spans="2:4" x14ac:dyDescent="0.3">
      <c r="B32" s="2">
        <v>2</v>
      </c>
    </row>
    <row r="33" spans="2:4" x14ac:dyDescent="0.3">
      <c r="B33" s="2">
        <v>3</v>
      </c>
    </row>
    <row r="34" spans="2:4" x14ac:dyDescent="0.3">
      <c r="B34" s="2">
        <v>4</v>
      </c>
    </row>
    <row r="35" spans="2:4" x14ac:dyDescent="0.3">
      <c r="B35" s="2">
        <v>5</v>
      </c>
    </row>
    <row r="37" spans="2:4" s="8" customFormat="1" x14ac:dyDescent="0.3">
      <c r="B37" s="7" t="s">
        <v>17</v>
      </c>
    </row>
    <row r="38" spans="2:4" s="8" customFormat="1" x14ac:dyDescent="0.3">
      <c r="B38" s="9"/>
    </row>
    <row r="39" spans="2:4" x14ac:dyDescent="0.3">
      <c r="B39" s="2">
        <v>1</v>
      </c>
    </row>
    <row r="40" spans="2:4" x14ac:dyDescent="0.3">
      <c r="B40" s="2">
        <v>2</v>
      </c>
    </row>
    <row r="41" spans="2:4" x14ac:dyDescent="0.3">
      <c r="B41" s="2">
        <v>3</v>
      </c>
    </row>
    <row r="42" spans="2:4" x14ac:dyDescent="0.3">
      <c r="B42" s="2">
        <v>4</v>
      </c>
    </row>
    <row r="43" spans="2:4" x14ac:dyDescent="0.3">
      <c r="B43" s="2">
        <v>5</v>
      </c>
    </row>
    <row r="45" spans="2:4" s="8" customFormat="1" x14ac:dyDescent="0.3">
      <c r="B45" s="7" t="s">
        <v>18</v>
      </c>
    </row>
    <row r="46" spans="2:4" s="8" customFormat="1" x14ac:dyDescent="0.3">
      <c r="B46" s="9"/>
      <c r="C46" s="10" t="s">
        <v>19</v>
      </c>
      <c r="D46" s="10" t="s">
        <v>20</v>
      </c>
    </row>
    <row r="47" spans="2:4" x14ac:dyDescent="0.3">
      <c r="B47" s="2">
        <v>1</v>
      </c>
    </row>
    <row r="48" spans="2:4" x14ac:dyDescent="0.3">
      <c r="B48" s="2">
        <v>2</v>
      </c>
    </row>
    <row r="49" spans="2:4" x14ac:dyDescent="0.3">
      <c r="B49" s="2">
        <v>3</v>
      </c>
    </row>
    <row r="50" spans="2:4" x14ac:dyDescent="0.3">
      <c r="B50" s="2">
        <v>4</v>
      </c>
    </row>
    <row r="51" spans="2:4" x14ac:dyDescent="0.3">
      <c r="B51" s="2">
        <v>5</v>
      </c>
    </row>
    <row r="53" spans="2:4" s="8" customFormat="1" x14ac:dyDescent="0.3">
      <c r="B53" s="7" t="s">
        <v>35</v>
      </c>
    </row>
    <row r="54" spans="2:4" s="8" customFormat="1" x14ac:dyDescent="0.3">
      <c r="B54" s="9"/>
      <c r="C54" s="10"/>
      <c r="D54" s="10"/>
    </row>
    <row r="55" spans="2:4" x14ac:dyDescent="0.3">
      <c r="C55" s="3" t="s">
        <v>37</v>
      </c>
    </row>
    <row r="56" spans="2:4" x14ac:dyDescent="0.3">
      <c r="C56" s="3" t="s">
        <v>38</v>
      </c>
    </row>
    <row r="57" spans="2:4" x14ac:dyDescent="0.3">
      <c r="C57" s="3" t="s">
        <v>40</v>
      </c>
    </row>
    <row r="58" spans="2:4" x14ac:dyDescent="0.3">
      <c r="C58" s="3" t="s">
        <v>39</v>
      </c>
    </row>
    <row r="59" spans="2:4" x14ac:dyDescent="0.3">
      <c r="C59" s="3" t="s">
        <v>41</v>
      </c>
    </row>
    <row r="60" spans="2:4" x14ac:dyDescent="0.3">
      <c r="C60" s="3" t="s">
        <v>42</v>
      </c>
    </row>
    <row r="61" spans="2:4" x14ac:dyDescent="0.3">
      <c r="C61" s="1" t="s">
        <v>43</v>
      </c>
    </row>
    <row r="62" spans="2:4" x14ac:dyDescent="0.3">
      <c r="C62" s="3" t="s">
        <v>44</v>
      </c>
    </row>
    <row r="63" spans="2:4" x14ac:dyDescent="0.3">
      <c r="C63" s="3" t="s">
        <v>45</v>
      </c>
    </row>
    <row r="64" spans="2:4" x14ac:dyDescent="0.3">
      <c r="C64" s="3" t="s">
        <v>46</v>
      </c>
    </row>
    <row r="65" spans="3:3" x14ac:dyDescent="0.3">
      <c r="C65" s="3"/>
    </row>
    <row r="66" spans="3:3" x14ac:dyDescent="0.3">
      <c r="C66" s="3"/>
    </row>
    <row r="67" spans="3:3" x14ac:dyDescent="0.3">
      <c r="C67" s="3"/>
    </row>
    <row r="68" spans="3:3" x14ac:dyDescent="0.3">
      <c r="C68" s="3"/>
    </row>
    <row r="69" spans="3:3" x14ac:dyDescent="0.3">
      <c r="C69" s="3"/>
    </row>
    <row r="70" spans="3:3" x14ac:dyDescent="0.3">
      <c r="C70" s="3"/>
    </row>
    <row r="71" spans="3:3" x14ac:dyDescent="0.3">
      <c r="C71" s="3"/>
    </row>
    <row r="72" spans="3:3" x14ac:dyDescent="0.3">
      <c r="C72" s="3"/>
    </row>
    <row r="73" spans="3:3" x14ac:dyDescent="0.3">
      <c r="C73" s="3"/>
    </row>
    <row r="74" spans="3:3" x14ac:dyDescent="0.3">
      <c r="C74" s="3"/>
    </row>
    <row r="75" spans="3:3" x14ac:dyDescent="0.3">
      <c r="C75" s="3"/>
    </row>
    <row r="76" spans="3:3" x14ac:dyDescent="0.3">
      <c r="C76" s="3"/>
    </row>
    <row r="77" spans="3:3" x14ac:dyDescent="0.3">
      <c r="C77" s="3"/>
    </row>
    <row r="78" spans="3:3" x14ac:dyDescent="0.3">
      <c r="C78" s="3"/>
    </row>
    <row r="79" spans="3:3" x14ac:dyDescent="0.3">
      <c r="C79" s="3"/>
    </row>
  </sheetData>
  <phoneticPr fontId="0" type="noConversion"/>
  <hyperlinks>
    <hyperlink ref="C10" location="Worksheet_Definitions" display="Worksheet_Definitions" xr:uid="{00000000-0004-0000-0000-000000000000}"/>
    <hyperlink ref="C11" location="Links" display="Links" xr:uid="{00000000-0004-0000-0000-000001000000}"/>
    <hyperlink ref="D10" location="Data_sources" display="Data_sources" xr:uid="{00000000-0004-0000-0000-000002000000}"/>
    <hyperlink ref="D11" location="References" display="References" xr:uid="{00000000-0004-0000-0000-000003000000}"/>
    <hyperlink ref="E10" location="Variables" display="Variables" xr:uid="{00000000-0004-0000-0000-000004000000}"/>
    <hyperlink ref="E11" location="Help" display="Help" xr:uid="{00000000-0004-0000-0000-000005000000}"/>
  </hyperlinks>
  <pageMargins left="0.75" right="0.75" top="1" bottom="1" header="0.5" footer="0.5"/>
  <pageSetup paperSize="9" orientation="portrait"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73"/>
  <sheetViews>
    <sheetView workbookViewId="0">
      <pane ySplit="10" topLeftCell="A11" activePane="bottomLeft" state="frozen"/>
      <selection activeCell="I2" sqref="I2"/>
      <selection pane="bottomLeft" activeCell="K24" sqref="K24"/>
    </sheetView>
  </sheetViews>
  <sheetFormatPr defaultColWidth="9" defaultRowHeight="14" x14ac:dyDescent="0.3"/>
  <cols>
    <col min="1" max="2" width="2.08203125" style="101" customWidth="1"/>
    <col min="3" max="3" width="40.75" style="1" customWidth="1"/>
    <col min="4" max="4" width="12.4140625" style="1" customWidth="1"/>
    <col min="5" max="5" width="12.83203125" style="1" customWidth="1"/>
    <col min="6" max="6" width="13.25" style="1" customWidth="1"/>
    <col min="7" max="16384" width="9" style="1"/>
  </cols>
  <sheetData>
    <row r="1" spans="1:14" ht="15.5" x14ac:dyDescent="0.35">
      <c r="C1" s="25" t="s">
        <v>26</v>
      </c>
      <c r="D1" s="117" t="str">
        <f>Intro!C6</f>
        <v>example</v>
      </c>
      <c r="E1" s="118"/>
      <c r="F1" s="118"/>
      <c r="G1" s="118"/>
      <c r="H1" s="118"/>
      <c r="I1" s="26" t="s">
        <v>1</v>
      </c>
      <c r="J1" s="27" t="str">
        <f>Intro!F6</f>
        <v>initials</v>
      </c>
      <c r="K1" s="26" t="s">
        <v>27</v>
      </c>
      <c r="L1" s="27" t="str">
        <f>Intro!F7</f>
        <v>checker</v>
      </c>
      <c r="M1" s="26" t="s">
        <v>28</v>
      </c>
      <c r="N1" s="27" t="str">
        <f>Intro!F8</f>
        <v>approver</v>
      </c>
    </row>
    <row r="2" spans="1:14" x14ac:dyDescent="0.3">
      <c r="C2" s="25" t="s">
        <v>21</v>
      </c>
      <c r="D2" s="119" t="s">
        <v>127</v>
      </c>
      <c r="E2" s="119"/>
      <c r="F2" s="119"/>
      <c r="G2" s="119"/>
      <c r="H2" s="120"/>
      <c r="I2" s="26" t="s">
        <v>2</v>
      </c>
      <c r="J2" s="28">
        <f>Intro!H6</f>
        <v>36892</v>
      </c>
      <c r="K2" s="26" t="s">
        <v>2</v>
      </c>
      <c r="L2" s="28">
        <f>Intro!H7</f>
        <v>36892</v>
      </c>
      <c r="M2" s="26" t="s">
        <v>2</v>
      </c>
      <c r="N2" s="28">
        <f>Intro!H8</f>
        <v>36892</v>
      </c>
    </row>
    <row r="3" spans="1:14" x14ac:dyDescent="0.3">
      <c r="C3" s="29" t="s">
        <v>22</v>
      </c>
      <c r="D3" s="14"/>
      <c r="E3" s="5"/>
      <c r="F3" s="15"/>
      <c r="G3" s="19"/>
      <c r="H3" s="15"/>
      <c r="I3" s="20"/>
      <c r="J3" s="5"/>
      <c r="K3" s="5"/>
      <c r="L3" s="5"/>
      <c r="M3" s="5"/>
      <c r="N3" s="5"/>
    </row>
    <row r="4" spans="1:14" x14ac:dyDescent="0.3">
      <c r="C4" s="5"/>
      <c r="D4" s="5"/>
      <c r="E4" s="5"/>
      <c r="F4" s="5"/>
      <c r="G4" s="5"/>
      <c r="H4" s="5"/>
      <c r="I4" s="5"/>
      <c r="J4" s="5"/>
      <c r="K4" s="5"/>
      <c r="L4" s="5"/>
      <c r="M4" s="5"/>
      <c r="N4" s="5"/>
    </row>
    <row r="5" spans="1:14" hidden="1" x14ac:dyDescent="0.3">
      <c r="C5" s="5"/>
      <c r="D5" s="5"/>
      <c r="E5" s="5"/>
      <c r="F5" s="5"/>
      <c r="G5" s="5"/>
      <c r="H5" s="5"/>
      <c r="I5" s="5"/>
      <c r="J5" s="5"/>
      <c r="K5" s="5"/>
      <c r="L5" s="5"/>
      <c r="M5" s="5"/>
      <c r="N5" s="5"/>
    </row>
    <row r="6" spans="1:14" hidden="1" x14ac:dyDescent="0.3">
      <c r="C6" s="5"/>
      <c r="D6" s="5"/>
      <c r="E6" s="5"/>
      <c r="F6" s="5"/>
      <c r="G6" s="5"/>
      <c r="H6" s="5"/>
      <c r="I6" s="5"/>
      <c r="J6" s="5"/>
      <c r="K6" s="5"/>
      <c r="L6" s="5"/>
      <c r="M6" s="5"/>
      <c r="N6" s="5"/>
    </row>
    <row r="7" spans="1:14" hidden="1" x14ac:dyDescent="0.3">
      <c r="C7" s="5"/>
      <c r="D7" s="5"/>
      <c r="E7" s="5"/>
      <c r="F7" s="5"/>
      <c r="G7" s="5"/>
      <c r="H7" s="5"/>
      <c r="I7" s="5"/>
      <c r="J7" s="5"/>
      <c r="K7" s="5"/>
      <c r="L7" s="5"/>
      <c r="M7" s="5"/>
      <c r="N7" s="5"/>
    </row>
    <row r="8" spans="1:14" hidden="1" x14ac:dyDescent="0.3">
      <c r="C8" s="5"/>
      <c r="D8" s="5"/>
      <c r="E8" s="5"/>
      <c r="F8" s="5"/>
      <c r="G8" s="5"/>
      <c r="H8" s="5"/>
      <c r="I8" s="5"/>
      <c r="J8" s="5"/>
      <c r="K8" s="5"/>
      <c r="L8" s="5"/>
      <c r="M8" s="5"/>
      <c r="N8" s="5"/>
    </row>
    <row r="9" spans="1:14" s="8" customFormat="1" x14ac:dyDescent="0.3">
      <c r="A9" s="101"/>
      <c r="B9" s="101"/>
    </row>
    <row r="10" spans="1:14" s="8" customFormat="1" x14ac:dyDescent="0.3">
      <c r="A10" s="101"/>
      <c r="B10" s="101"/>
      <c r="C10" s="8" t="s">
        <v>50</v>
      </c>
      <c r="D10" s="57" t="s">
        <v>51</v>
      </c>
      <c r="E10" s="57" t="s">
        <v>52</v>
      </c>
      <c r="F10" s="57" t="s">
        <v>53</v>
      </c>
      <c r="G10" s="57"/>
      <c r="H10" s="57"/>
      <c r="I10" s="57"/>
      <c r="J10" s="57"/>
      <c r="K10" s="57"/>
      <c r="L10" s="57"/>
      <c r="M10" s="57"/>
      <c r="N10" s="57"/>
    </row>
    <row r="11" spans="1:14" x14ac:dyDescent="0.3">
      <c r="C11" s="39" t="s">
        <v>54</v>
      </c>
      <c r="D11" s="40"/>
      <c r="E11" s="40"/>
      <c r="F11" s="40"/>
      <c r="G11" s="40"/>
      <c r="H11" s="41" t="s">
        <v>55</v>
      </c>
      <c r="I11" s="40"/>
      <c r="J11" s="40"/>
      <c r="K11" s="40"/>
      <c r="L11" s="40"/>
    </row>
    <row r="12" spans="1:14" x14ac:dyDescent="0.3">
      <c r="C12" s="39" t="s">
        <v>56</v>
      </c>
      <c r="D12" s="42"/>
      <c r="E12" s="42"/>
      <c r="F12" s="42"/>
      <c r="G12" s="42"/>
      <c r="H12" s="43" t="s">
        <v>57</v>
      </c>
      <c r="I12" s="42"/>
      <c r="J12" s="42"/>
      <c r="K12" s="42"/>
      <c r="L12" s="42"/>
    </row>
    <row r="13" spans="1:14" x14ac:dyDescent="0.3">
      <c r="C13" s="44" t="s">
        <v>58</v>
      </c>
      <c r="D13" s="42"/>
      <c r="E13" s="42"/>
      <c r="F13" s="42"/>
      <c r="G13" s="42"/>
      <c r="H13" s="42"/>
      <c r="I13" s="42"/>
      <c r="J13" s="42"/>
      <c r="K13" s="42"/>
      <c r="L13" s="42"/>
    </row>
    <row r="14" spans="1:14" x14ac:dyDescent="0.3">
      <c r="C14" s="44" t="s">
        <v>59</v>
      </c>
      <c r="D14" s="42"/>
      <c r="E14" s="42"/>
      <c r="F14" s="42"/>
      <c r="G14" s="42"/>
      <c r="H14" s="42"/>
      <c r="I14" s="42"/>
      <c r="J14" s="42"/>
      <c r="K14" s="42"/>
      <c r="L14" s="42"/>
    </row>
    <row r="15" spans="1:14" x14ac:dyDescent="0.3">
      <c r="C15" s="39" t="s">
        <v>60</v>
      </c>
      <c r="D15" s="42"/>
      <c r="E15" s="42"/>
      <c r="F15" s="42"/>
      <c r="G15" s="42"/>
      <c r="H15" s="42"/>
      <c r="I15" s="42"/>
      <c r="J15" s="42"/>
      <c r="K15" s="42"/>
      <c r="L15" s="42"/>
    </row>
    <row r="16" spans="1:14" s="5" customFormat="1" x14ac:dyDescent="0.3">
      <c r="A16" s="101"/>
      <c r="B16" s="101"/>
      <c r="C16" s="58" t="s">
        <v>61</v>
      </c>
      <c r="D16" s="59">
        <v>2</v>
      </c>
      <c r="E16" s="59">
        <v>2</v>
      </c>
      <c r="F16" s="59">
        <v>2</v>
      </c>
      <c r="G16" s="59"/>
      <c r="H16" s="60"/>
      <c r="I16" s="60"/>
      <c r="J16" s="60"/>
      <c r="K16" s="60"/>
      <c r="L16" s="60"/>
    </row>
    <row r="17" spans="1:12" x14ac:dyDescent="0.3">
      <c r="C17" s="39" t="s">
        <v>62</v>
      </c>
      <c r="D17" s="45">
        <v>0</v>
      </c>
      <c r="E17" s="45" t="str">
        <f>D73</f>
        <v>Cr</v>
      </c>
      <c r="F17" s="45">
        <v>0</v>
      </c>
      <c r="G17" s="45"/>
      <c r="H17" s="42"/>
      <c r="I17" s="42"/>
      <c r="J17" s="42"/>
      <c r="K17" s="42"/>
      <c r="L17" s="42"/>
    </row>
    <row r="18" spans="1:12" s="5" customFormat="1" x14ac:dyDescent="0.3">
      <c r="A18" s="101"/>
      <c r="B18" s="101"/>
      <c r="C18" s="61" t="s">
        <v>63</v>
      </c>
      <c r="D18" s="62">
        <v>1650</v>
      </c>
      <c r="E18" s="62">
        <v>1650</v>
      </c>
      <c r="F18" s="62">
        <v>1350</v>
      </c>
      <c r="G18" s="62"/>
      <c r="H18" s="60"/>
      <c r="I18" s="60"/>
      <c r="J18" s="60"/>
      <c r="K18" s="60"/>
      <c r="L18" s="60"/>
    </row>
    <row r="19" spans="1:12" s="5" customFormat="1" x14ac:dyDescent="0.3">
      <c r="A19" s="101"/>
      <c r="B19" s="101"/>
      <c r="C19" s="63" t="s">
        <v>64</v>
      </c>
      <c r="D19" s="64">
        <v>2</v>
      </c>
      <c r="E19" s="64">
        <v>2</v>
      </c>
      <c r="F19" s="64">
        <v>2</v>
      </c>
      <c r="G19" s="64"/>
      <c r="H19" s="65"/>
      <c r="I19" s="65"/>
      <c r="J19" s="65"/>
      <c r="K19" s="65"/>
      <c r="L19" s="65"/>
    </row>
    <row r="20" spans="1:12" x14ac:dyDescent="0.3">
      <c r="C20" s="39" t="s">
        <v>65</v>
      </c>
      <c r="D20" s="46">
        <v>3.0000000000000001E-3</v>
      </c>
      <c r="E20" s="46">
        <v>3.0000000000000001E-3</v>
      </c>
      <c r="F20" s="46">
        <v>3.0000000000000001E-3</v>
      </c>
      <c r="G20" s="46"/>
      <c r="H20" s="47"/>
      <c r="I20" s="47"/>
      <c r="J20" s="47"/>
      <c r="K20" s="47"/>
      <c r="L20" s="47"/>
    </row>
    <row r="21" spans="1:12" x14ac:dyDescent="0.3">
      <c r="C21" s="39" t="s">
        <v>66</v>
      </c>
      <c r="D21" s="48">
        <v>1</v>
      </c>
      <c r="E21" s="48">
        <v>1</v>
      </c>
      <c r="F21" s="48">
        <v>1</v>
      </c>
      <c r="G21" s="48"/>
      <c r="H21" s="49"/>
      <c r="I21" s="39"/>
      <c r="J21" s="49"/>
      <c r="K21" s="49"/>
      <c r="L21" s="49"/>
    </row>
    <row r="22" spans="1:12" x14ac:dyDescent="0.3">
      <c r="C22" s="39" t="s">
        <v>67</v>
      </c>
      <c r="D22" s="48">
        <v>1</v>
      </c>
      <c r="E22" s="48">
        <v>1</v>
      </c>
      <c r="F22" s="48">
        <v>1</v>
      </c>
      <c r="G22" s="48"/>
      <c r="H22" s="46"/>
      <c r="I22" s="39"/>
      <c r="J22" s="46"/>
      <c r="K22" s="46"/>
      <c r="L22" s="46"/>
    </row>
    <row r="23" spans="1:12" x14ac:dyDescent="0.3">
      <c r="C23" s="39" t="s">
        <v>128</v>
      </c>
      <c r="D23" s="49">
        <v>1</v>
      </c>
      <c r="E23" s="49">
        <v>1</v>
      </c>
      <c r="F23" s="49">
        <v>0</v>
      </c>
      <c r="G23" s="48"/>
      <c r="H23" s="46"/>
      <c r="I23" s="39"/>
      <c r="J23" s="46"/>
      <c r="K23" s="46"/>
      <c r="L23" s="46"/>
    </row>
    <row r="24" spans="1:12" s="5" customFormat="1" x14ac:dyDescent="0.3">
      <c r="A24" s="101"/>
      <c r="B24" s="101"/>
      <c r="C24" s="63" t="s">
        <v>68</v>
      </c>
      <c r="D24" s="66">
        <v>0</v>
      </c>
      <c r="E24" s="66">
        <v>0</v>
      </c>
      <c r="F24" s="66">
        <v>0</v>
      </c>
      <c r="G24" s="66"/>
      <c r="H24" s="67"/>
      <c r="I24" s="63"/>
      <c r="J24" s="67"/>
      <c r="K24" s="67"/>
      <c r="L24" s="67"/>
    </row>
    <row r="25" spans="1:12" x14ac:dyDescent="0.3">
      <c r="C25" s="50" t="s">
        <v>69</v>
      </c>
      <c r="D25" s="51"/>
      <c r="E25" s="51"/>
      <c r="F25" s="51"/>
      <c r="G25" s="51"/>
      <c r="H25" s="51"/>
      <c r="I25" s="39"/>
      <c r="J25" s="51"/>
      <c r="K25" s="51"/>
      <c r="L25" s="51"/>
    </row>
    <row r="26" spans="1:12" x14ac:dyDescent="0.3">
      <c r="C26" s="50" t="s">
        <v>70</v>
      </c>
      <c r="D26" s="51"/>
      <c r="E26" s="51"/>
      <c r="F26" s="51"/>
      <c r="G26" s="51"/>
      <c r="H26" s="51"/>
      <c r="I26" s="39"/>
      <c r="J26" s="51"/>
      <c r="K26" s="51"/>
      <c r="L26" s="51"/>
    </row>
    <row r="27" spans="1:12" x14ac:dyDescent="0.3">
      <c r="C27" s="50" t="s">
        <v>71</v>
      </c>
      <c r="D27" s="51"/>
      <c r="E27" s="51"/>
      <c r="F27" s="51"/>
      <c r="G27" s="51"/>
      <c r="H27" s="51"/>
      <c r="I27" s="44"/>
      <c r="J27" s="51"/>
      <c r="K27" s="51"/>
      <c r="L27" s="51"/>
    </row>
    <row r="28" spans="1:12" x14ac:dyDescent="0.3">
      <c r="C28" s="50"/>
      <c r="D28" s="49"/>
      <c r="E28" s="49"/>
      <c r="F28" s="49"/>
      <c r="G28" s="49"/>
      <c r="H28" s="49"/>
      <c r="I28" s="44"/>
      <c r="J28" s="49"/>
      <c r="K28" s="49"/>
      <c r="L28" s="49"/>
    </row>
    <row r="29" spans="1:12" s="8" customFormat="1" x14ac:dyDescent="0.3">
      <c r="A29" s="101"/>
      <c r="B29" s="101"/>
      <c r="C29" s="73" t="s">
        <v>72</v>
      </c>
      <c r="D29" s="74" t="e">
        <f>D12/D13</f>
        <v>#DIV/0!</v>
      </c>
      <c r="E29" s="74" t="e">
        <f>E12/E13</f>
        <v>#DIV/0!</v>
      </c>
      <c r="F29" s="74" t="e">
        <f>F12/F13</f>
        <v>#DIV/0!</v>
      </c>
      <c r="G29" s="74"/>
      <c r="H29" s="74"/>
      <c r="I29" s="74"/>
      <c r="J29" s="74"/>
      <c r="K29" s="74"/>
      <c r="L29" s="74"/>
    </row>
    <row r="30" spans="1:12" s="8" customFormat="1" x14ac:dyDescent="0.3">
      <c r="A30" s="101"/>
      <c r="B30" s="101"/>
      <c r="C30" s="73" t="s">
        <v>73</v>
      </c>
      <c r="D30" s="75" t="s">
        <v>74</v>
      </c>
      <c r="E30" s="75" t="s">
        <v>74</v>
      </c>
      <c r="F30" s="76" t="e">
        <f>F13/F15/F16</f>
        <v>#DIV/0!</v>
      </c>
      <c r="G30" s="76"/>
      <c r="H30" s="75"/>
      <c r="I30" s="75"/>
      <c r="J30" s="76"/>
      <c r="K30" s="76"/>
      <c r="L30" s="75"/>
    </row>
    <row r="31" spans="1:12" s="8" customFormat="1" x14ac:dyDescent="0.3">
      <c r="A31" s="101"/>
      <c r="B31" s="101"/>
      <c r="C31" s="73" t="s">
        <v>75</v>
      </c>
      <c r="D31" s="77">
        <f>D27^2*D26/D20</f>
        <v>0</v>
      </c>
      <c r="E31" s="77">
        <f>E27^2*E26/E20</f>
        <v>0</v>
      </c>
      <c r="F31" s="77">
        <f>F27^2*F26/F20</f>
        <v>0</v>
      </c>
      <c r="G31" s="77"/>
      <c r="H31" s="77"/>
      <c r="I31" s="77"/>
      <c r="J31" s="77"/>
      <c r="K31" s="77"/>
      <c r="L31" s="77"/>
    </row>
    <row r="32" spans="1:12" s="8" customFormat="1" x14ac:dyDescent="0.3">
      <c r="A32" s="101"/>
      <c r="B32" s="101"/>
      <c r="C32" s="73" t="s">
        <v>76</v>
      </c>
      <c r="D32" s="77">
        <f>D27*12.4*3600/PI()</f>
        <v>0</v>
      </c>
      <c r="E32" s="77">
        <f>E27*12.4*3600/PI()</f>
        <v>0</v>
      </c>
      <c r="F32" s="77">
        <f>F27*12.4*3600/PI()</f>
        <v>0</v>
      </c>
      <c r="G32" s="77"/>
      <c r="H32" s="77"/>
      <c r="I32" s="77"/>
      <c r="J32" s="77"/>
      <c r="K32" s="77"/>
      <c r="L32" s="77"/>
    </row>
    <row r="33" spans="1:12" s="80" customFormat="1" x14ac:dyDescent="0.3">
      <c r="A33" s="101"/>
      <c r="B33" s="101"/>
      <c r="C33" s="78" t="s">
        <v>77</v>
      </c>
      <c r="D33" s="79" t="e">
        <f>D31*D25/D32</f>
        <v>#DIV/0!</v>
      </c>
      <c r="E33" s="79" t="e">
        <f>E31*E25/E32</f>
        <v>#DIV/0!</v>
      </c>
      <c r="F33" s="79" t="e">
        <f>F31*F25/F32</f>
        <v>#DIV/0!</v>
      </c>
      <c r="G33" s="79"/>
      <c r="H33" s="79"/>
      <c r="I33" s="79"/>
      <c r="J33" s="79"/>
      <c r="K33" s="79"/>
      <c r="L33" s="79"/>
    </row>
    <row r="34" spans="1:12" s="8" customFormat="1" x14ac:dyDescent="0.3">
      <c r="A34" s="101"/>
      <c r="B34" s="101"/>
      <c r="C34" s="73" t="s">
        <v>78</v>
      </c>
      <c r="D34" s="75" t="s">
        <v>74</v>
      </c>
      <c r="E34" s="75" t="s">
        <v>74</v>
      </c>
      <c r="F34" s="76" t="e">
        <f>F31*F14/2*F15/F32</f>
        <v>#DIV/0!</v>
      </c>
      <c r="G34" s="76"/>
      <c r="H34" s="81"/>
      <c r="I34" s="81"/>
      <c r="J34" s="77"/>
      <c r="K34" s="77"/>
      <c r="L34" s="81"/>
    </row>
    <row r="35" spans="1:12" s="8" customFormat="1" x14ac:dyDescent="0.3">
      <c r="A35" s="101"/>
      <c r="B35" s="101"/>
      <c r="C35" s="73" t="s">
        <v>79</v>
      </c>
      <c r="D35" s="75" t="s">
        <v>74</v>
      </c>
      <c r="E35" s="75" t="s">
        <v>74</v>
      </c>
      <c r="F35" s="76" t="e">
        <f>F27^2*F29/F20*F14/2*F15/F32</f>
        <v>#DIV/0!</v>
      </c>
      <c r="G35" s="76"/>
      <c r="H35" s="81"/>
      <c r="I35" s="81"/>
      <c r="J35" s="77"/>
      <c r="K35" s="77"/>
      <c r="L35" s="81"/>
    </row>
    <row r="36" spans="1:12" s="8" customFormat="1" x14ac:dyDescent="0.3">
      <c r="A36" s="101"/>
      <c r="B36" s="101"/>
      <c r="C36" s="73" t="s">
        <v>80</v>
      </c>
      <c r="D36" s="75" t="s">
        <v>74</v>
      </c>
      <c r="E36" s="75" t="s">
        <v>74</v>
      </c>
      <c r="F36" s="82" t="e">
        <f>PI()*F30/12.4/3600</f>
        <v>#DIV/0!</v>
      </c>
      <c r="G36" s="82"/>
      <c r="H36" s="75"/>
      <c r="I36" s="75"/>
      <c r="J36" s="82"/>
      <c r="K36" s="82"/>
      <c r="L36" s="75"/>
    </row>
    <row r="37" spans="1:12" s="8" customFormat="1" x14ac:dyDescent="0.3">
      <c r="A37" s="101"/>
      <c r="B37" s="101"/>
      <c r="C37" s="73" t="s">
        <v>81</v>
      </c>
      <c r="D37" s="75"/>
      <c r="E37" s="75" t="s">
        <v>74</v>
      </c>
      <c r="F37" s="82" t="e">
        <f>F36^2*F29/F20*F16</f>
        <v>#DIV/0!</v>
      </c>
      <c r="G37" s="82"/>
      <c r="H37" s="75"/>
      <c r="I37" s="75"/>
      <c r="J37" s="82"/>
      <c r="K37" s="82"/>
      <c r="L37" s="75"/>
    </row>
    <row r="38" spans="1:12" s="80" customFormat="1" x14ac:dyDescent="0.3">
      <c r="A38" s="101"/>
      <c r="B38" s="101"/>
      <c r="C38" s="78" t="s">
        <v>82</v>
      </c>
      <c r="D38" s="83"/>
      <c r="E38" s="83" t="s">
        <v>74</v>
      </c>
      <c r="F38" s="84" t="e">
        <f>F37*F14/2*F15/F30</f>
        <v>#DIV/0!</v>
      </c>
      <c r="G38" s="84"/>
      <c r="H38" s="83"/>
      <c r="I38" s="83"/>
      <c r="J38" s="85"/>
      <c r="K38" s="85"/>
      <c r="L38" s="83"/>
    </row>
    <row r="39" spans="1:12" x14ac:dyDescent="0.3">
      <c r="C39" s="50" t="s">
        <v>159</v>
      </c>
      <c r="D39" s="52"/>
      <c r="E39" s="53"/>
      <c r="F39" s="53"/>
      <c r="G39" s="53"/>
      <c r="H39" s="53"/>
      <c r="I39" s="53"/>
      <c r="J39" s="54"/>
      <c r="K39" s="54"/>
      <c r="L39" s="54"/>
    </row>
    <row r="40" spans="1:12" ht="15.5" x14ac:dyDescent="0.35">
      <c r="C40"/>
      <c r="D40" s="54"/>
      <c r="E40" s="54"/>
      <c r="F40" s="54"/>
      <c r="G40" s="54"/>
      <c r="H40" s="54"/>
      <c r="I40" s="54"/>
      <c r="J40" s="55"/>
      <c r="K40" s="55"/>
      <c r="L40" s="55"/>
    </row>
    <row r="41" spans="1:12" s="80" customFormat="1" x14ac:dyDescent="0.3">
      <c r="A41" s="101"/>
      <c r="B41" s="101"/>
      <c r="C41" s="86" t="s">
        <v>83</v>
      </c>
      <c r="D41" s="87" t="s">
        <v>51</v>
      </c>
      <c r="E41" s="88" t="s">
        <v>52</v>
      </c>
      <c r="F41" s="88" t="s">
        <v>53</v>
      </c>
      <c r="G41" s="88"/>
      <c r="H41" s="89"/>
      <c r="I41" s="89"/>
      <c r="J41" s="89"/>
      <c r="K41" s="89"/>
      <c r="L41" s="89"/>
    </row>
    <row r="42" spans="1:12" s="80" customFormat="1" ht="104" customHeight="1" x14ac:dyDescent="0.3">
      <c r="A42" s="101"/>
      <c r="B42" s="101"/>
      <c r="C42" s="90" t="s">
        <v>84</v>
      </c>
      <c r="D42" s="91" t="s">
        <v>85</v>
      </c>
      <c r="E42" s="91" t="s">
        <v>86</v>
      </c>
      <c r="F42" s="91" t="s">
        <v>87</v>
      </c>
      <c r="G42" s="91"/>
      <c r="H42" s="92"/>
      <c r="I42" s="92"/>
      <c r="J42" s="92"/>
      <c r="K42" s="89"/>
      <c r="L42" s="89"/>
    </row>
    <row r="43" spans="1:12" s="80" customFormat="1" ht="15.5" x14ac:dyDescent="0.35">
      <c r="A43" s="101"/>
      <c r="B43" s="101"/>
      <c r="C43" s="93" t="s">
        <v>88</v>
      </c>
      <c r="D43" s="94" t="s">
        <v>89</v>
      </c>
      <c r="E43" s="95"/>
      <c r="F43" s="92"/>
      <c r="G43" s="92"/>
      <c r="H43" s="92"/>
      <c r="I43" s="92"/>
      <c r="J43" s="92"/>
      <c r="K43" s="96"/>
      <c r="L43" s="92"/>
    </row>
    <row r="44" spans="1:12" s="80" customFormat="1" ht="15.5" x14ac:dyDescent="0.35">
      <c r="A44" s="101"/>
      <c r="B44" s="101"/>
      <c r="C44" s="93" t="s">
        <v>90</v>
      </c>
      <c r="D44" s="94" t="s">
        <v>91</v>
      </c>
      <c r="E44" s="95"/>
      <c r="F44" s="92"/>
      <c r="G44" s="92"/>
      <c r="H44" s="92"/>
      <c r="I44" s="92"/>
      <c r="J44" s="92"/>
      <c r="K44" s="96"/>
      <c r="L44" s="92"/>
    </row>
    <row r="45" spans="1:12" s="80" customFormat="1" ht="15.5" x14ac:dyDescent="0.35">
      <c r="A45" s="101"/>
      <c r="B45" s="101"/>
      <c r="C45" s="93" t="s">
        <v>92</v>
      </c>
      <c r="D45" s="94" t="s">
        <v>93</v>
      </c>
      <c r="E45" s="95"/>
      <c r="F45" s="92"/>
      <c r="G45" s="92"/>
      <c r="H45" s="92"/>
      <c r="I45" s="92"/>
      <c r="J45" s="92"/>
      <c r="K45" s="96"/>
      <c r="L45" s="96"/>
    </row>
    <row r="46" spans="1:12" s="80" customFormat="1" ht="15.5" x14ac:dyDescent="0.35">
      <c r="A46" s="101"/>
      <c r="B46" s="101"/>
      <c r="C46" s="93" t="s">
        <v>94</v>
      </c>
      <c r="D46" s="94" t="s">
        <v>95</v>
      </c>
      <c r="E46" s="95"/>
      <c r="F46" s="92"/>
      <c r="G46" s="92"/>
      <c r="H46" s="92"/>
      <c r="I46" s="92"/>
      <c r="J46" s="92"/>
      <c r="K46" s="96"/>
      <c r="L46" s="96"/>
    </row>
    <row r="47" spans="1:12" s="80" customFormat="1" ht="15.5" x14ac:dyDescent="0.35">
      <c r="A47" s="101"/>
      <c r="B47" s="101"/>
      <c r="C47" s="93" t="s">
        <v>96</v>
      </c>
      <c r="D47" s="94" t="s">
        <v>97</v>
      </c>
      <c r="E47" s="95"/>
      <c r="F47" s="92"/>
      <c r="G47" s="92"/>
      <c r="H47" s="92"/>
      <c r="I47" s="92"/>
      <c r="J47" s="92"/>
      <c r="K47" s="96"/>
      <c r="L47" s="96"/>
    </row>
    <row r="48" spans="1:12" s="80" customFormat="1" ht="15.5" x14ac:dyDescent="0.35">
      <c r="A48" s="101"/>
      <c r="B48" s="101"/>
      <c r="C48" s="93" t="s">
        <v>98</v>
      </c>
      <c r="D48" s="94" t="s">
        <v>99</v>
      </c>
      <c r="E48" s="95"/>
      <c r="F48" s="92"/>
      <c r="G48" s="92"/>
      <c r="H48" s="92"/>
      <c r="I48" s="92"/>
      <c r="J48" s="92"/>
      <c r="K48" s="96"/>
      <c r="L48" s="96"/>
    </row>
    <row r="49" spans="1:12" s="80" customFormat="1" x14ac:dyDescent="0.3">
      <c r="A49" s="101"/>
      <c r="B49" s="101"/>
      <c r="C49" s="93" t="s">
        <v>100</v>
      </c>
      <c r="D49" s="94" t="s">
        <v>101</v>
      </c>
      <c r="E49" s="95"/>
      <c r="F49" s="92"/>
      <c r="G49" s="92"/>
      <c r="H49" s="92"/>
      <c r="I49" s="92"/>
      <c r="J49" s="92"/>
      <c r="K49" s="92"/>
      <c r="L49" s="92"/>
    </row>
    <row r="50" spans="1:12" s="80" customFormat="1" ht="15.5" x14ac:dyDescent="0.35">
      <c r="A50" s="101"/>
      <c r="B50" s="101"/>
      <c r="C50" s="93" t="s">
        <v>102</v>
      </c>
      <c r="D50" s="94" t="s">
        <v>103</v>
      </c>
      <c r="E50" s="95"/>
      <c r="F50" s="92"/>
      <c r="G50" s="92"/>
      <c r="H50" s="96"/>
      <c r="I50" s="96"/>
      <c r="J50" s="96"/>
      <c r="K50" s="96"/>
      <c r="L50" s="96"/>
    </row>
    <row r="51" spans="1:12" ht="15.5" x14ac:dyDescent="0.35">
      <c r="C51"/>
      <c r="D51" s="54"/>
      <c r="E51" s="54"/>
      <c r="F51" s="54"/>
      <c r="G51" s="54"/>
      <c r="H51" s="56"/>
      <c r="I51" s="56"/>
      <c r="J51" s="56"/>
      <c r="K51" s="56"/>
      <c r="L51" s="56"/>
    </row>
    <row r="52" spans="1:12" s="8" customFormat="1" ht="15.5" x14ac:dyDescent="0.35">
      <c r="A52" s="101"/>
      <c r="B52" s="101"/>
      <c r="C52" s="73" t="s">
        <v>104</v>
      </c>
      <c r="D52" s="97"/>
      <c r="E52" s="98"/>
      <c r="F52" s="99"/>
      <c r="G52" s="99"/>
      <c r="H52" s="100"/>
      <c r="I52" s="100"/>
      <c r="J52" s="100"/>
      <c r="K52" s="100"/>
      <c r="L52" s="100"/>
    </row>
    <row r="53" spans="1:12" x14ac:dyDescent="0.3">
      <c r="C53" s="39" t="s">
        <v>105</v>
      </c>
      <c r="D53" s="48"/>
      <c r="E53" s="48"/>
      <c r="F53" s="54"/>
      <c r="G53" s="54"/>
      <c r="H53" s="54"/>
      <c r="I53" s="54"/>
      <c r="J53" s="54"/>
      <c r="K53" s="54"/>
      <c r="L53" s="54"/>
    </row>
    <row r="54" spans="1:12" x14ac:dyDescent="0.3">
      <c r="C54" s="39" t="s">
        <v>106</v>
      </c>
      <c r="D54" s="48">
        <v>0</v>
      </c>
      <c r="E54" s="48"/>
      <c r="F54" s="54"/>
      <c r="G54" s="54"/>
      <c r="H54" s="54"/>
      <c r="I54" s="54"/>
      <c r="J54" s="54"/>
      <c r="K54" s="54"/>
      <c r="L54" s="54"/>
    </row>
    <row r="55" spans="1:12" x14ac:dyDescent="0.3">
      <c r="C55" s="39" t="s">
        <v>107</v>
      </c>
      <c r="D55" s="48"/>
      <c r="E55" s="48"/>
      <c r="F55" s="54"/>
      <c r="G55" s="54"/>
      <c r="H55" s="54"/>
      <c r="I55" s="54"/>
      <c r="J55" s="54"/>
      <c r="K55" s="54"/>
      <c r="L55" s="54"/>
    </row>
    <row r="56" spans="1:12" x14ac:dyDescent="0.3">
      <c r="C56" s="39" t="s">
        <v>108</v>
      </c>
      <c r="D56" s="48">
        <v>0</v>
      </c>
      <c r="E56" s="48"/>
      <c r="F56" s="54"/>
      <c r="G56" s="54"/>
      <c r="H56" s="54"/>
      <c r="I56" s="54"/>
      <c r="J56" s="54"/>
      <c r="K56" s="54"/>
      <c r="L56" s="54"/>
    </row>
    <row r="57" spans="1:12" x14ac:dyDescent="0.3">
      <c r="C57" s="39" t="s">
        <v>109</v>
      </c>
      <c r="D57" s="48"/>
      <c r="E57" s="48"/>
      <c r="F57" s="54"/>
      <c r="G57" s="54"/>
      <c r="H57" s="54"/>
      <c r="I57" s="54"/>
      <c r="J57" s="54"/>
      <c r="K57" s="54"/>
      <c r="L57" s="54"/>
    </row>
    <row r="58" spans="1:12" x14ac:dyDescent="0.3">
      <c r="C58" s="39" t="s">
        <v>110</v>
      </c>
      <c r="D58" s="48">
        <v>18.600000000000001</v>
      </c>
      <c r="E58" s="48"/>
      <c r="F58" s="54"/>
      <c r="G58" s="54"/>
      <c r="H58" s="54"/>
      <c r="I58" s="54"/>
      <c r="J58" s="54"/>
      <c r="K58" s="54"/>
      <c r="L58" s="54"/>
    </row>
    <row r="59" spans="1:12" x14ac:dyDescent="0.3">
      <c r="C59" s="39" t="s">
        <v>111</v>
      </c>
      <c r="D59" s="48">
        <v>12.2</v>
      </c>
      <c r="E59" s="48"/>
      <c r="F59" s="54"/>
      <c r="G59" s="54"/>
      <c r="H59" s="54"/>
      <c r="I59" s="54"/>
      <c r="J59" s="54"/>
      <c r="K59" s="54"/>
      <c r="L59" s="54"/>
    </row>
    <row r="60" spans="1:12" x14ac:dyDescent="0.3">
      <c r="C60" s="39" t="s">
        <v>112</v>
      </c>
      <c r="D60" s="48">
        <v>1</v>
      </c>
      <c r="E60" s="48"/>
      <c r="F60" s="54"/>
      <c r="G60" s="54"/>
      <c r="H60" s="54"/>
      <c r="I60" s="54"/>
      <c r="J60" s="54"/>
      <c r="K60" s="54"/>
      <c r="L60" s="54"/>
    </row>
    <row r="61" spans="1:12" s="8" customFormat="1" x14ac:dyDescent="0.3">
      <c r="A61" s="101"/>
      <c r="B61" s="101"/>
      <c r="C61" s="73" t="s">
        <v>113</v>
      </c>
      <c r="D61" s="97"/>
      <c r="E61" s="98"/>
      <c r="F61" s="99"/>
      <c r="G61" s="99"/>
      <c r="H61" s="99"/>
      <c r="I61" s="99"/>
      <c r="J61" s="99"/>
      <c r="K61" s="99"/>
      <c r="L61" s="99"/>
    </row>
    <row r="62" spans="1:12" x14ac:dyDescent="0.3">
      <c r="C62" s="39" t="s">
        <v>114</v>
      </c>
      <c r="D62" s="48"/>
      <c r="E62" s="48"/>
      <c r="F62" s="54"/>
      <c r="G62" s="54"/>
      <c r="H62" s="54"/>
      <c r="I62" s="54"/>
      <c r="J62" s="54"/>
      <c r="K62" s="54"/>
      <c r="L62" s="54"/>
    </row>
    <row r="63" spans="1:12" x14ac:dyDescent="0.3">
      <c r="C63" s="39" t="s">
        <v>115</v>
      </c>
      <c r="D63" s="48"/>
      <c r="E63" s="54"/>
      <c r="F63" s="54"/>
      <c r="G63" s="54"/>
      <c r="H63" s="54"/>
      <c r="I63" s="54"/>
      <c r="J63" s="54"/>
      <c r="K63" s="54"/>
      <c r="L63" s="54"/>
    </row>
    <row r="64" spans="1:12" x14ac:dyDescent="0.3">
      <c r="C64" s="39" t="s">
        <v>116</v>
      </c>
      <c r="D64" s="48"/>
      <c r="E64" s="48"/>
      <c r="F64" s="54"/>
      <c r="G64" s="54"/>
      <c r="H64" s="54"/>
      <c r="I64" s="54"/>
      <c r="J64" s="54"/>
      <c r="K64" s="54"/>
      <c r="L64" s="54"/>
    </row>
    <row r="65" spans="1:12" x14ac:dyDescent="0.3">
      <c r="C65" s="39" t="s">
        <v>117</v>
      </c>
      <c r="D65" s="48">
        <v>12</v>
      </c>
      <c r="E65" s="48"/>
      <c r="F65" s="54"/>
      <c r="G65" s="54"/>
      <c r="H65" s="54"/>
      <c r="I65" s="54"/>
      <c r="J65" s="54"/>
      <c r="K65" s="54"/>
      <c r="L65" s="54"/>
    </row>
    <row r="66" spans="1:12" x14ac:dyDescent="0.3">
      <c r="C66" s="39" t="s">
        <v>118</v>
      </c>
      <c r="D66" s="48">
        <v>10</v>
      </c>
      <c r="E66" s="48"/>
      <c r="F66" s="54"/>
      <c r="G66" s="54"/>
      <c r="H66" s="54"/>
      <c r="I66" s="54"/>
      <c r="J66" s="54"/>
      <c r="K66" s="54"/>
      <c r="L66" s="54"/>
    </row>
    <row r="67" spans="1:12" s="8" customFormat="1" x14ac:dyDescent="0.3">
      <c r="A67" s="101"/>
      <c r="B67" s="101"/>
      <c r="C67" s="73" t="s">
        <v>119</v>
      </c>
      <c r="D67" s="97"/>
      <c r="E67" s="98"/>
      <c r="F67" s="99"/>
      <c r="G67" s="99"/>
      <c r="H67" s="99"/>
      <c r="I67" s="99"/>
      <c r="J67" s="99"/>
      <c r="K67" s="99"/>
      <c r="L67" s="99"/>
    </row>
    <row r="68" spans="1:12" x14ac:dyDescent="0.3">
      <c r="C68" s="39" t="s">
        <v>120</v>
      </c>
      <c r="D68" s="48">
        <v>0.5</v>
      </c>
      <c r="E68" s="48"/>
      <c r="F68" s="54"/>
      <c r="G68" s="54"/>
      <c r="H68" s="54"/>
      <c r="I68" s="54"/>
      <c r="J68" s="54"/>
      <c r="K68" s="54"/>
      <c r="L68" s="54"/>
    </row>
    <row r="69" spans="1:12" x14ac:dyDescent="0.3">
      <c r="C69" s="39" t="s">
        <v>121</v>
      </c>
      <c r="D69" s="47">
        <v>100</v>
      </c>
      <c r="E69" s="48"/>
      <c r="F69" s="54"/>
      <c r="G69" s="54"/>
      <c r="H69" s="54"/>
      <c r="I69" s="54"/>
      <c r="J69" s="54"/>
      <c r="K69" s="54"/>
      <c r="L69" s="54"/>
    </row>
    <row r="70" spans="1:12" x14ac:dyDescent="0.3">
      <c r="C70" s="39" t="s">
        <v>122</v>
      </c>
      <c r="D70" s="47">
        <v>0</v>
      </c>
      <c r="E70" s="48"/>
      <c r="F70" s="54"/>
      <c r="G70" s="54"/>
      <c r="H70" s="54"/>
      <c r="I70" s="54"/>
      <c r="J70" s="54"/>
      <c r="K70" s="54"/>
      <c r="L70" s="54"/>
    </row>
    <row r="71" spans="1:12" s="8" customFormat="1" x14ac:dyDescent="0.3">
      <c r="A71" s="101"/>
      <c r="B71" s="101"/>
      <c r="C71" s="73" t="s">
        <v>123</v>
      </c>
      <c r="D71" s="97"/>
      <c r="E71" s="98"/>
      <c r="F71" s="99"/>
      <c r="G71" s="99"/>
      <c r="H71" s="99"/>
      <c r="I71" s="99"/>
      <c r="J71" s="99"/>
      <c r="K71" s="99"/>
      <c r="L71" s="99"/>
    </row>
    <row r="72" spans="1:12" x14ac:dyDescent="0.3">
      <c r="C72" s="39" t="s">
        <v>124</v>
      </c>
      <c r="D72" s="54"/>
      <c r="E72" s="54"/>
      <c r="F72" s="54"/>
      <c r="G72" s="54"/>
      <c r="H72" s="54"/>
      <c r="I72" s="54"/>
      <c r="J72" s="54"/>
      <c r="K72" s="54"/>
      <c r="L72" s="54"/>
    </row>
    <row r="73" spans="1:12" x14ac:dyDescent="0.3">
      <c r="C73" s="39" t="s">
        <v>125</v>
      </c>
      <c r="D73" s="48" t="s">
        <v>126</v>
      </c>
      <c r="E73" s="54"/>
      <c r="F73" s="54"/>
      <c r="G73" s="54"/>
      <c r="H73" s="54"/>
      <c r="I73" s="54"/>
      <c r="J73" s="54"/>
      <c r="K73" s="54"/>
      <c r="L73" s="54"/>
    </row>
  </sheetData>
  <mergeCells count="2">
    <mergeCell ref="D1:H1"/>
    <mergeCell ref="D2:H2"/>
  </mergeCells>
  <phoneticPr fontId="0" type="noConversion"/>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W12"/>
  <sheetViews>
    <sheetView workbookViewId="0">
      <pane ySplit="11" topLeftCell="A12" activePane="bottomLeft" state="frozen"/>
      <selection activeCell="I2" sqref="I2"/>
      <selection pane="bottomLeft" activeCell="D2" sqref="D2:H2"/>
    </sheetView>
  </sheetViews>
  <sheetFormatPr defaultColWidth="9" defaultRowHeight="14" x14ac:dyDescent="0.3"/>
  <cols>
    <col min="1" max="2" width="3" style="101" customWidth="1"/>
    <col min="3" max="3" width="9" style="8"/>
    <col min="4" max="4" width="10.58203125" style="69" customWidth="1"/>
    <col min="5" max="5" width="10.58203125" style="105" customWidth="1"/>
    <col min="6" max="6" width="10.58203125" style="80" customWidth="1"/>
    <col min="7" max="7" width="8.1640625" style="1" customWidth="1"/>
    <col min="8" max="8" width="9.4140625" style="8" customWidth="1"/>
    <col min="9" max="9" width="10.58203125" style="69" customWidth="1"/>
    <col min="10" max="10" width="10.58203125" style="105" customWidth="1"/>
    <col min="11" max="11" width="10.58203125" style="80" customWidth="1"/>
    <col min="12" max="12" width="8.1640625" style="1" customWidth="1"/>
    <col min="13" max="13" width="9.6640625" style="8" customWidth="1"/>
    <col min="14" max="14" width="10.5" style="69" customWidth="1"/>
    <col min="15" max="15" width="10.58203125" style="105" customWidth="1"/>
    <col min="16" max="16" width="10.58203125" style="80" customWidth="1"/>
    <col min="17" max="17" width="6.4140625" style="1" customWidth="1"/>
    <col min="18" max="18" width="9.33203125" style="8" customWidth="1"/>
    <col min="19" max="19" width="10.58203125" style="69" customWidth="1"/>
    <col min="20" max="20" width="10.58203125" style="105" customWidth="1"/>
    <col min="21" max="21" width="10.58203125" style="80" customWidth="1"/>
    <col min="22" max="23" width="10.58203125" style="1" customWidth="1"/>
    <col min="24" max="16384" width="9" style="1"/>
  </cols>
  <sheetData>
    <row r="1" spans="1:23" ht="15.5" x14ac:dyDescent="0.35">
      <c r="C1" s="25" t="s">
        <v>26</v>
      </c>
      <c r="D1" s="117" t="str">
        <f>Intro!C6</f>
        <v>example</v>
      </c>
      <c r="E1" s="121"/>
      <c r="F1" s="122"/>
      <c r="G1" s="121"/>
      <c r="H1" s="121"/>
      <c r="I1" s="26" t="s">
        <v>1</v>
      </c>
      <c r="J1" s="27" t="str">
        <f>Intro!F6</f>
        <v>initials</v>
      </c>
      <c r="K1" s="26" t="s">
        <v>27</v>
      </c>
      <c r="L1" s="27" t="str">
        <f>Intro!F7</f>
        <v>checker</v>
      </c>
      <c r="M1" s="26" t="s">
        <v>28</v>
      </c>
      <c r="N1" s="103" t="str">
        <f>Intro!F8</f>
        <v>approver</v>
      </c>
      <c r="O1" s="102"/>
      <c r="P1" s="102"/>
      <c r="Q1" s="102"/>
      <c r="R1" s="102"/>
      <c r="S1" s="19"/>
      <c r="T1" s="102"/>
      <c r="U1" s="19"/>
      <c r="V1" s="102"/>
      <c r="W1" s="19"/>
    </row>
    <row r="2" spans="1:23" x14ac:dyDescent="0.3">
      <c r="C2" s="25" t="s">
        <v>21</v>
      </c>
      <c r="D2" s="123" t="s">
        <v>24</v>
      </c>
      <c r="E2" s="123"/>
      <c r="F2" s="124"/>
      <c r="G2" s="123"/>
      <c r="H2" s="125"/>
      <c r="I2" s="26" t="s">
        <v>2</v>
      </c>
      <c r="J2" s="28">
        <f>Intro!H6</f>
        <v>36892</v>
      </c>
      <c r="K2" s="26" t="s">
        <v>2</v>
      </c>
      <c r="L2" s="28">
        <f>Intro!H7</f>
        <v>36892</v>
      </c>
      <c r="M2" s="26" t="s">
        <v>2</v>
      </c>
      <c r="N2" s="104">
        <f>Intro!H8</f>
        <v>36892</v>
      </c>
      <c r="O2" s="102"/>
      <c r="P2" s="102"/>
      <c r="Q2" s="102"/>
      <c r="R2" s="102"/>
      <c r="S2" s="20"/>
      <c r="T2" s="102"/>
      <c r="U2" s="20"/>
      <c r="V2" s="102"/>
      <c r="W2" s="20"/>
    </row>
    <row r="3" spans="1:23" x14ac:dyDescent="0.3">
      <c r="C3" s="70" t="s">
        <v>129</v>
      </c>
      <c r="D3" s="14"/>
      <c r="E3" s="5"/>
      <c r="F3" s="5"/>
      <c r="G3" s="5"/>
      <c r="H3" s="5"/>
      <c r="I3" s="15"/>
      <c r="J3" s="19"/>
      <c r="K3" s="19"/>
      <c r="L3" s="19"/>
      <c r="M3" s="19"/>
      <c r="N3" s="15"/>
      <c r="O3" s="20"/>
      <c r="P3" s="20"/>
      <c r="Q3" s="20"/>
      <c r="R3" s="20"/>
      <c r="S3" s="5"/>
      <c r="T3" s="5"/>
      <c r="U3" s="5"/>
      <c r="V3" s="5"/>
      <c r="W3" s="5"/>
    </row>
    <row r="4" spans="1:23" x14ac:dyDescent="0.3">
      <c r="C4" s="5" t="s">
        <v>156</v>
      </c>
      <c r="D4" s="5"/>
      <c r="E4" s="5"/>
      <c r="F4" s="5"/>
      <c r="G4" s="5"/>
      <c r="H4" s="5"/>
      <c r="I4" s="5"/>
      <c r="J4" s="5"/>
      <c r="K4" s="5"/>
      <c r="L4" s="5"/>
      <c r="M4" s="5"/>
      <c r="N4" s="5"/>
      <c r="O4" s="5"/>
      <c r="P4" s="5"/>
      <c r="Q4" s="5"/>
      <c r="R4" s="5"/>
      <c r="S4" s="5"/>
      <c r="T4" s="5"/>
      <c r="U4" s="5"/>
      <c r="V4" s="5"/>
      <c r="W4" s="5"/>
    </row>
    <row r="5" spans="1:23" x14ac:dyDescent="0.3">
      <c r="C5" s="5" t="s">
        <v>157</v>
      </c>
      <c r="D5" s="5"/>
      <c r="E5" s="5"/>
      <c r="F5" s="5"/>
      <c r="G5" s="5"/>
      <c r="H5" s="5"/>
      <c r="I5" s="5"/>
      <c r="J5" s="5"/>
      <c r="K5" s="5"/>
      <c r="L5" s="5"/>
      <c r="M5" s="5"/>
      <c r="N5" s="5"/>
      <c r="O5" s="5"/>
      <c r="P5" s="5"/>
      <c r="Q5" s="5"/>
      <c r="R5" s="5"/>
      <c r="S5" s="5"/>
      <c r="T5" s="5"/>
      <c r="U5" s="5"/>
      <c r="V5" s="5"/>
      <c r="W5" s="5"/>
    </row>
    <row r="6" spans="1:23" x14ac:dyDescent="0.3">
      <c r="C6" s="5" t="s">
        <v>158</v>
      </c>
      <c r="D6" s="5"/>
      <c r="E6" s="5"/>
      <c r="F6" s="5"/>
      <c r="G6" s="5"/>
      <c r="H6" s="5"/>
      <c r="I6" s="5"/>
      <c r="J6" s="5"/>
      <c r="K6" s="5"/>
      <c r="L6" s="5"/>
      <c r="M6" s="5"/>
      <c r="N6" s="5"/>
      <c r="O6" s="5"/>
      <c r="P6" s="5"/>
      <c r="Q6" s="5"/>
      <c r="R6" s="5"/>
      <c r="S6" s="5"/>
      <c r="T6" s="5"/>
      <c r="U6" s="5"/>
      <c r="V6" s="5"/>
      <c r="W6" s="5"/>
    </row>
    <row r="7" spans="1:23" x14ac:dyDescent="0.3">
      <c r="C7" s="5"/>
      <c r="D7" s="5"/>
      <c r="E7" s="5"/>
      <c r="F7" s="5"/>
      <c r="G7" s="5"/>
      <c r="H7" s="5"/>
      <c r="I7" s="5"/>
      <c r="J7" s="5"/>
      <c r="K7" s="5"/>
      <c r="L7" s="5"/>
      <c r="M7" s="5"/>
      <c r="N7" s="5"/>
      <c r="O7" s="5"/>
      <c r="P7" s="5"/>
      <c r="Q7" s="5"/>
      <c r="R7" s="5"/>
      <c r="S7" s="5"/>
      <c r="T7" s="5"/>
      <c r="U7" s="5"/>
      <c r="V7" s="5"/>
      <c r="W7" s="5"/>
    </row>
    <row r="8" spans="1:23" x14ac:dyDescent="0.3">
      <c r="C8" s="5"/>
      <c r="D8" s="5"/>
      <c r="E8" s="5"/>
      <c r="F8" s="5"/>
      <c r="G8" s="5"/>
      <c r="H8" s="5"/>
      <c r="I8" s="5"/>
      <c r="J8" s="5"/>
      <c r="K8" s="5"/>
      <c r="L8" s="5"/>
      <c r="M8" s="5"/>
      <c r="N8" s="5"/>
      <c r="O8" s="5"/>
      <c r="P8" s="5"/>
      <c r="Q8" s="5"/>
      <c r="R8" s="5"/>
      <c r="S8" s="5"/>
      <c r="T8" s="5"/>
      <c r="U8" s="5"/>
      <c r="V8" s="5"/>
      <c r="W8" s="5"/>
    </row>
    <row r="9" spans="1:23" s="8" customFormat="1" x14ac:dyDescent="0.3">
      <c r="A9" s="101"/>
      <c r="B9" s="101"/>
      <c r="C9" s="8" t="s">
        <v>138</v>
      </c>
      <c r="D9" s="68" t="s">
        <v>130</v>
      </c>
      <c r="E9" s="68"/>
      <c r="F9" s="68"/>
      <c r="G9" s="68"/>
      <c r="H9" s="68"/>
      <c r="I9" s="68" t="s">
        <v>131</v>
      </c>
      <c r="J9" s="68"/>
      <c r="K9" s="68"/>
      <c r="L9" s="68"/>
      <c r="M9" s="68"/>
      <c r="N9" s="68" t="s">
        <v>132</v>
      </c>
      <c r="O9" s="68"/>
      <c r="P9" s="68"/>
      <c r="Q9" s="68"/>
      <c r="R9" s="68"/>
      <c r="S9" s="68" t="s">
        <v>133</v>
      </c>
      <c r="T9" s="68"/>
    </row>
    <row r="10" spans="1:23" s="8" customFormat="1" x14ac:dyDescent="0.3">
      <c r="A10" s="101"/>
      <c r="B10" s="101"/>
      <c r="D10" s="68" t="s">
        <v>137</v>
      </c>
      <c r="E10" s="68" t="s">
        <v>137</v>
      </c>
      <c r="F10" s="68" t="s">
        <v>155</v>
      </c>
      <c r="G10" s="68"/>
      <c r="H10" s="68"/>
      <c r="I10" s="68" t="s">
        <v>137</v>
      </c>
      <c r="J10" s="68" t="s">
        <v>137</v>
      </c>
      <c r="K10" s="68" t="s">
        <v>155</v>
      </c>
      <c r="L10" s="68"/>
      <c r="M10" s="68"/>
      <c r="N10" s="68" t="s">
        <v>137</v>
      </c>
      <c r="O10" s="68" t="s">
        <v>137</v>
      </c>
      <c r="P10" s="68" t="s">
        <v>155</v>
      </c>
      <c r="Q10" s="68"/>
      <c r="R10" s="68"/>
      <c r="S10" s="68" t="s">
        <v>137</v>
      </c>
      <c r="T10" s="68" t="s">
        <v>137</v>
      </c>
      <c r="U10" s="68" t="s">
        <v>155</v>
      </c>
    </row>
    <row r="11" spans="1:23" s="8" customFormat="1" x14ac:dyDescent="0.3">
      <c r="A11" s="101"/>
      <c r="B11" s="101"/>
      <c r="C11" s="57" t="s">
        <v>136</v>
      </c>
      <c r="D11" s="68" t="s">
        <v>134</v>
      </c>
      <c r="E11" s="68" t="s">
        <v>135</v>
      </c>
      <c r="F11" s="68" t="s">
        <v>154</v>
      </c>
      <c r="G11" s="68"/>
      <c r="H11" s="68" t="s">
        <v>136</v>
      </c>
      <c r="I11" s="68" t="s">
        <v>134</v>
      </c>
      <c r="J11" s="68" t="s">
        <v>135</v>
      </c>
      <c r="K11" s="68" t="s">
        <v>154</v>
      </c>
      <c r="L11" s="68"/>
      <c r="M11" s="68" t="s">
        <v>136</v>
      </c>
      <c r="N11" s="68" t="s">
        <v>134</v>
      </c>
      <c r="O11" s="68" t="s">
        <v>135</v>
      </c>
      <c r="P11" s="68" t="s">
        <v>154</v>
      </c>
      <c r="Q11" s="68"/>
      <c r="R11" s="68" t="s">
        <v>136</v>
      </c>
      <c r="S11" s="68" t="s">
        <v>134</v>
      </c>
      <c r="T11" s="68" t="s">
        <v>135</v>
      </c>
      <c r="U11" s="68" t="s">
        <v>154</v>
      </c>
    </row>
    <row r="12" spans="1:23" x14ac:dyDescent="0.3">
      <c r="C12" s="8">
        <v>1</v>
      </c>
      <c r="D12" s="69">
        <v>0</v>
      </c>
      <c r="E12" s="105">
        <v>0</v>
      </c>
      <c r="F12" s="80">
        <v>0</v>
      </c>
      <c r="H12" s="8">
        <v>1</v>
      </c>
      <c r="I12" s="69">
        <v>0</v>
      </c>
      <c r="J12" s="105">
        <v>0</v>
      </c>
      <c r="K12" s="80">
        <v>0</v>
      </c>
      <c r="M12" s="8">
        <v>1</v>
      </c>
      <c r="N12" s="69">
        <v>0</v>
      </c>
      <c r="O12" s="105">
        <v>0</v>
      </c>
      <c r="P12" s="80">
        <v>0</v>
      </c>
      <c r="R12" s="8">
        <v>1</v>
      </c>
      <c r="S12" s="69">
        <v>420000</v>
      </c>
      <c r="T12" s="105">
        <v>0</v>
      </c>
      <c r="U12" s="80">
        <v>0</v>
      </c>
    </row>
  </sheetData>
  <mergeCells count="2">
    <mergeCell ref="D1:H1"/>
    <mergeCell ref="D2:H2"/>
  </mergeCells>
  <phoneticPr fontId="0"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C1:N13"/>
  <sheetViews>
    <sheetView workbookViewId="0">
      <pane ySplit="10" topLeftCell="A11" activePane="bottomLeft" state="frozen"/>
      <selection activeCell="C11" sqref="C11"/>
      <selection pane="bottomLeft" activeCell="D1" sqref="D1:H1"/>
    </sheetView>
  </sheetViews>
  <sheetFormatPr defaultColWidth="9" defaultRowHeight="14" x14ac:dyDescent="0.3"/>
  <cols>
    <col min="1" max="2" width="2.83203125" style="1" customWidth="1"/>
    <col min="3" max="3" width="9" style="1"/>
    <col min="4" max="6" width="12.58203125" style="1" customWidth="1"/>
    <col min="7" max="7" width="15.75" style="1" customWidth="1"/>
    <col min="8" max="8" width="18.6640625" style="1" customWidth="1"/>
    <col min="9" max="9" width="12.58203125" style="1" customWidth="1"/>
    <col min="10" max="10" width="15.25" style="1" customWidth="1"/>
    <col min="11" max="14" width="12.58203125" style="1" customWidth="1"/>
    <col min="15" max="16384" width="9" style="1"/>
  </cols>
  <sheetData>
    <row r="1" spans="3:14" ht="15.5" x14ac:dyDescent="0.35">
      <c r="C1" s="25" t="s">
        <v>26</v>
      </c>
      <c r="D1" s="117" t="str">
        <f>Intro!C6</f>
        <v>example</v>
      </c>
      <c r="E1" s="118"/>
      <c r="F1" s="118"/>
      <c r="G1" s="118"/>
      <c r="H1" s="118"/>
      <c r="I1" s="26" t="s">
        <v>1</v>
      </c>
      <c r="J1" s="27" t="str">
        <f>Intro!F6</f>
        <v>initials</v>
      </c>
      <c r="K1" s="26" t="s">
        <v>27</v>
      </c>
      <c r="L1" s="27" t="str">
        <f>Intro!F7</f>
        <v>checker</v>
      </c>
      <c r="M1" s="26" t="s">
        <v>28</v>
      </c>
      <c r="N1" s="27" t="str">
        <f>Intro!F8</f>
        <v>approver</v>
      </c>
    </row>
    <row r="2" spans="3:14" x14ac:dyDescent="0.3">
      <c r="C2" s="25" t="s">
        <v>21</v>
      </c>
      <c r="D2" s="119" t="s">
        <v>139</v>
      </c>
      <c r="E2" s="119"/>
      <c r="F2" s="119"/>
      <c r="G2" s="119"/>
      <c r="H2" s="120"/>
      <c r="I2" s="26" t="s">
        <v>2</v>
      </c>
      <c r="J2" s="28">
        <f>Intro!H6</f>
        <v>36892</v>
      </c>
      <c r="K2" s="26" t="s">
        <v>2</v>
      </c>
      <c r="L2" s="28">
        <f>Intro!H7</f>
        <v>36892</v>
      </c>
      <c r="M2" s="26" t="s">
        <v>2</v>
      </c>
      <c r="N2" s="28">
        <f>Intro!H8</f>
        <v>36892</v>
      </c>
    </row>
    <row r="3" spans="3:14" x14ac:dyDescent="0.3">
      <c r="C3" s="29" t="s">
        <v>150</v>
      </c>
      <c r="D3" s="14" t="s">
        <v>140</v>
      </c>
      <c r="E3" s="5"/>
      <c r="F3" s="15"/>
      <c r="G3" s="19"/>
      <c r="H3" s="15"/>
      <c r="I3" s="20"/>
      <c r="J3" s="5"/>
      <c r="K3" s="5"/>
      <c r="L3" s="5"/>
      <c r="M3" s="5"/>
      <c r="N3" s="5"/>
    </row>
    <row r="4" spans="3:14" x14ac:dyDescent="0.3">
      <c r="C4" s="5" t="s">
        <v>151</v>
      </c>
      <c r="D4" s="5">
        <v>12</v>
      </c>
      <c r="E4" s="5">
        <v>13</v>
      </c>
      <c r="F4" s="5">
        <v>15</v>
      </c>
      <c r="G4" s="5">
        <v>20</v>
      </c>
      <c r="H4" s="5">
        <v>19</v>
      </c>
      <c r="I4" s="5">
        <v>18</v>
      </c>
      <c r="J4" s="5"/>
      <c r="K4" s="5"/>
      <c r="L4" s="5"/>
      <c r="M4" s="5"/>
      <c r="N4" s="5"/>
    </row>
    <row r="5" spans="3:14" x14ac:dyDescent="0.3">
      <c r="C5" s="5" t="s">
        <v>141</v>
      </c>
      <c r="D5" s="5"/>
      <c r="E5" s="5"/>
      <c r="F5" s="5"/>
      <c r="G5" s="5"/>
      <c r="H5" s="5"/>
      <c r="I5" s="5"/>
      <c r="J5" s="5"/>
      <c r="K5" s="5"/>
      <c r="L5" s="5"/>
      <c r="M5" s="5"/>
      <c r="N5" s="5"/>
    </row>
    <row r="6" spans="3:14" x14ac:dyDescent="0.3">
      <c r="C6" s="5" t="s">
        <v>152</v>
      </c>
      <c r="D6" s="5"/>
      <c r="E6" s="5"/>
      <c r="F6" s="5"/>
      <c r="G6" s="5"/>
      <c r="H6" s="5"/>
      <c r="I6" s="5"/>
      <c r="J6" s="5"/>
      <c r="K6" s="5"/>
      <c r="L6" s="5"/>
      <c r="M6" s="5"/>
      <c r="N6" s="5"/>
    </row>
    <row r="7" spans="3:14" x14ac:dyDescent="0.3">
      <c r="C7" s="5" t="s">
        <v>153</v>
      </c>
      <c r="D7" s="5"/>
      <c r="E7" s="5"/>
      <c r="F7" s="5"/>
      <c r="G7" s="5"/>
      <c r="H7" s="5"/>
      <c r="I7" s="5"/>
      <c r="J7" s="5"/>
      <c r="K7" s="5"/>
      <c r="L7" s="5"/>
      <c r="M7" s="5"/>
      <c r="N7" s="5"/>
    </row>
    <row r="8" spans="3:14" x14ac:dyDescent="0.3">
      <c r="C8" s="5"/>
      <c r="D8" s="5"/>
      <c r="E8" s="5"/>
      <c r="F8" s="5"/>
      <c r="G8" s="5"/>
      <c r="H8" s="5"/>
      <c r="I8" s="5"/>
      <c r="J8" s="5"/>
      <c r="K8" s="5"/>
      <c r="L8" s="5"/>
      <c r="M8" s="5"/>
      <c r="N8" s="5"/>
    </row>
    <row r="9" spans="3:14" s="8" customFormat="1" x14ac:dyDescent="0.3">
      <c r="C9" s="8" t="s">
        <v>47</v>
      </c>
    </row>
    <row r="10" spans="3:14" s="8" customFormat="1" x14ac:dyDescent="0.3">
      <c r="C10" s="57" t="s">
        <v>142</v>
      </c>
      <c r="D10" s="57" t="s">
        <v>84</v>
      </c>
      <c r="E10" s="57" t="s">
        <v>143</v>
      </c>
      <c r="F10" s="57" t="s">
        <v>144</v>
      </c>
      <c r="G10" s="57" t="s">
        <v>145</v>
      </c>
      <c r="H10" s="57" t="s">
        <v>146</v>
      </c>
      <c r="I10" s="57" t="s">
        <v>147</v>
      </c>
      <c r="J10" s="57" t="s">
        <v>148</v>
      </c>
      <c r="K10" s="57" t="s">
        <v>149</v>
      </c>
    </row>
    <row r="11" spans="3:14" x14ac:dyDescent="0.3">
      <c r="C11" s="2">
        <v>1</v>
      </c>
      <c r="D11" s="71" cm="1">
        <f t="array" aca="1" ref="D11" ca="1">INDIRECT(_xlfn.CONCAT($C$9,"!",$C$3,D$4))</f>
        <v>0</v>
      </c>
      <c r="E11" s="71" cm="1">
        <f t="array" aca="1" ref="E11" ca="1">INDIRECT(_xlfn.CONCAT($C$9,"!",$C$3,E$4))</f>
        <v>0</v>
      </c>
      <c r="F11" s="71" cm="1">
        <f t="array" aca="1" ref="F11" ca="1">INDIRECT(_xlfn.CONCAT($C$9,"!",$C$3,F$4))</f>
        <v>0</v>
      </c>
      <c r="G11" s="71" cm="1">
        <f t="array" aca="1" ref="G11" ca="1">INDIRECT(_xlfn.CONCAT($C$9,"!",$C$3,G$4))</f>
        <v>3.0000000000000001E-3</v>
      </c>
      <c r="H11" s="72" cm="1">
        <f t="array" aca="1" ref="H11" ca="1">INDIRECT(_xlfn.CONCAT($C$9,"!",$C$3,H$4))</f>
        <v>2</v>
      </c>
      <c r="I11" s="72" cm="1">
        <f t="array" aca="1" ref="I11" ca="1">INDIRECT(_xlfn.CONCAT($C$9,"!",$C$3,I$4))</f>
        <v>1650</v>
      </c>
      <c r="J11" s="2">
        <v>1</v>
      </c>
      <c r="K11" s="2">
        <v>1</v>
      </c>
    </row>
    <row r="12" spans="3:14" x14ac:dyDescent="0.3">
      <c r="C12" s="2">
        <v>2</v>
      </c>
      <c r="D12" s="71" cm="1">
        <f t="array" aca="1" ref="D12" ca="1">INDIRECT(_xlfn.CONCAT($C$9,"!",$C$4,D$4))</f>
        <v>0</v>
      </c>
      <c r="E12" s="71" cm="1">
        <f t="array" aca="1" ref="E12" ca="1">INDIRECT(_xlfn.CONCAT($C$9,"!",$C$4,E$4))</f>
        <v>0</v>
      </c>
      <c r="F12" s="71" cm="1">
        <f t="array" aca="1" ref="F12" ca="1">INDIRECT(_xlfn.CONCAT($C$9,"!",$C$4,F$4))</f>
        <v>0</v>
      </c>
      <c r="G12" s="71" cm="1">
        <f t="array" aca="1" ref="G12" ca="1">INDIRECT(_xlfn.CONCAT($C$9,"!",$C$4,G$4))</f>
        <v>3.0000000000000001E-3</v>
      </c>
      <c r="H12" s="72" cm="1">
        <f t="array" aca="1" ref="H12" ca="1">INDIRECT(_xlfn.CONCAT($C$9,"!",$C$4,H$4))</f>
        <v>2</v>
      </c>
      <c r="I12" s="72" cm="1">
        <f t="array" aca="1" ref="I12" ca="1">INDIRECT(_xlfn.CONCAT($C$9,"!",$C$4,I$4))</f>
        <v>1350</v>
      </c>
      <c r="J12" s="2">
        <v>1</v>
      </c>
      <c r="K12" s="2">
        <v>1</v>
      </c>
    </row>
    <row r="13" spans="3:14" x14ac:dyDescent="0.3">
      <c r="C13" s="2">
        <v>3</v>
      </c>
      <c r="D13" s="71" cm="1">
        <f t="array" aca="1" ref="D13" ca="1">INDIRECT(_xlfn.CONCAT($C$9,"!",$C$5,D$4))</f>
        <v>0</v>
      </c>
      <c r="E13" s="71" cm="1">
        <f t="array" aca="1" ref="E13" ca="1">INDIRECT(_xlfn.CONCAT($C$9,"!",$C$5,E$4))</f>
        <v>0</v>
      </c>
      <c r="F13" s="71" cm="1">
        <f t="array" aca="1" ref="F13" ca="1">INDIRECT(_xlfn.CONCAT($C$9,"!",$C$5,F$4))</f>
        <v>0</v>
      </c>
      <c r="G13" s="71" cm="1">
        <f t="array" aca="1" ref="G13" ca="1">INDIRECT(_xlfn.CONCAT($C$9,"!",$C$5,G$4))</f>
        <v>3.0000000000000001E-3</v>
      </c>
      <c r="H13" s="72" cm="1">
        <f t="array" aca="1" ref="H13" ca="1">INDIRECT(_xlfn.CONCAT($C$9,"!",$C$5,H$4))</f>
        <v>2</v>
      </c>
      <c r="I13" s="72" cm="1">
        <f t="array" aca="1" ref="I13" ca="1">INDIRECT(_xlfn.CONCAT($C$9,"!",$C$5,I$4))</f>
        <v>1650</v>
      </c>
      <c r="J13" s="2">
        <v>1</v>
      </c>
      <c r="K13" s="2">
        <v>1</v>
      </c>
    </row>
  </sheetData>
  <mergeCells count="2">
    <mergeCell ref="D1:H1"/>
    <mergeCell ref="D2:H2"/>
  </mergeCells>
  <phoneticPr fontId="0" type="noConversion"/>
  <pageMargins left="0.75" right="0.75" top="1" bottom="1" header="0.5" footer="0.5"/>
  <headerFooter alignWithMargins="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945AA-8A18-4F90-AA24-790EB5954818}">
  <dimension ref="C1:N10"/>
  <sheetViews>
    <sheetView workbookViewId="0">
      <pane ySplit="10" topLeftCell="A11" activePane="bottomLeft" state="frozen"/>
      <selection activeCell="I2" sqref="I2"/>
      <selection pane="bottomLeft" activeCell="D1" sqref="D1:H1"/>
    </sheetView>
  </sheetViews>
  <sheetFormatPr defaultColWidth="9" defaultRowHeight="14" x14ac:dyDescent="0.3"/>
  <cols>
    <col min="1" max="2" width="2.08203125" style="109" customWidth="1"/>
    <col min="3" max="16384" width="9" style="109"/>
  </cols>
  <sheetData>
    <row r="1" spans="3:14" ht="15.5" x14ac:dyDescent="0.35">
      <c r="C1" s="106" t="s">
        <v>26</v>
      </c>
      <c r="D1" s="126" t="str">
        <f>Intro!C6</f>
        <v>example</v>
      </c>
      <c r="E1" s="127"/>
      <c r="F1" s="127"/>
      <c r="G1" s="127"/>
      <c r="H1" s="127"/>
      <c r="I1" s="107" t="s">
        <v>1</v>
      </c>
      <c r="J1" s="108" t="str">
        <f>Intro!F6</f>
        <v>initials</v>
      </c>
      <c r="K1" s="107" t="s">
        <v>27</v>
      </c>
      <c r="L1" s="108" t="str">
        <f>Intro!F7</f>
        <v>checker</v>
      </c>
      <c r="M1" s="107" t="s">
        <v>28</v>
      </c>
      <c r="N1" s="108" t="str">
        <f>Intro!F8</f>
        <v>approver</v>
      </c>
    </row>
    <row r="2" spans="3:14" x14ac:dyDescent="0.3">
      <c r="C2" s="106" t="s">
        <v>21</v>
      </c>
      <c r="D2" s="128" t="s">
        <v>24</v>
      </c>
      <c r="E2" s="128"/>
      <c r="F2" s="128"/>
      <c r="G2" s="128"/>
      <c r="H2" s="129"/>
      <c r="I2" s="107" t="s">
        <v>2</v>
      </c>
      <c r="J2" s="110">
        <f>Intro!H6</f>
        <v>36892</v>
      </c>
      <c r="K2" s="107" t="s">
        <v>2</v>
      </c>
      <c r="L2" s="110">
        <f>Intro!H7</f>
        <v>36892</v>
      </c>
      <c r="M2" s="107" t="s">
        <v>2</v>
      </c>
      <c r="N2" s="110">
        <f>Intro!H8</f>
        <v>36892</v>
      </c>
    </row>
    <row r="3" spans="3:14" x14ac:dyDescent="0.3">
      <c r="C3" s="111" t="s">
        <v>22</v>
      </c>
      <c r="D3" s="112"/>
      <c r="E3" s="112"/>
      <c r="F3" s="113"/>
      <c r="G3" s="114"/>
      <c r="H3" s="113"/>
      <c r="I3" s="115"/>
      <c r="J3" s="112"/>
      <c r="K3" s="112"/>
      <c r="L3" s="112"/>
      <c r="M3" s="112"/>
      <c r="N3" s="112"/>
    </row>
    <row r="4" spans="3:14" x14ac:dyDescent="0.3">
      <c r="C4" s="112"/>
      <c r="D4" s="112"/>
      <c r="E4" s="112"/>
      <c r="F4" s="112"/>
      <c r="G4" s="112"/>
      <c r="H4" s="112"/>
      <c r="I4" s="112"/>
      <c r="J4" s="112"/>
      <c r="K4" s="112"/>
      <c r="L4" s="112"/>
      <c r="M4" s="112"/>
      <c r="N4" s="112"/>
    </row>
    <row r="5" spans="3:14" x14ac:dyDescent="0.3">
      <c r="C5" s="112"/>
      <c r="D5" s="112"/>
      <c r="E5" s="112"/>
      <c r="F5" s="112"/>
      <c r="G5" s="112"/>
      <c r="H5" s="112"/>
      <c r="I5" s="112"/>
      <c r="J5" s="112"/>
      <c r="K5" s="112"/>
      <c r="L5" s="112"/>
      <c r="M5" s="112"/>
      <c r="N5" s="112"/>
    </row>
    <row r="6" spans="3:14" x14ac:dyDescent="0.3">
      <c r="C6" s="112"/>
      <c r="D6" s="112"/>
      <c r="E6" s="112"/>
      <c r="F6" s="112"/>
      <c r="G6" s="112"/>
      <c r="H6" s="112"/>
      <c r="I6" s="112"/>
      <c r="J6" s="112"/>
      <c r="K6" s="112"/>
      <c r="L6" s="112"/>
      <c r="M6" s="112"/>
      <c r="N6" s="112"/>
    </row>
    <row r="7" spans="3:14" x14ac:dyDescent="0.3">
      <c r="C7" s="112"/>
      <c r="D7" s="112"/>
      <c r="E7" s="112"/>
      <c r="F7" s="112"/>
      <c r="G7" s="112"/>
      <c r="H7" s="112"/>
      <c r="I7" s="112"/>
      <c r="J7" s="112"/>
      <c r="K7" s="112"/>
      <c r="L7" s="112"/>
      <c r="M7" s="112"/>
      <c r="N7" s="112"/>
    </row>
    <row r="8" spans="3:14" x14ac:dyDescent="0.3">
      <c r="C8" s="112"/>
      <c r="D8" s="112"/>
      <c r="E8" s="112"/>
      <c r="F8" s="112"/>
      <c r="G8" s="112"/>
      <c r="H8" s="112"/>
      <c r="I8" s="112"/>
      <c r="J8" s="112"/>
      <c r="K8" s="112"/>
      <c r="L8" s="112"/>
      <c r="M8" s="112"/>
      <c r="N8" s="112"/>
    </row>
    <row r="9" spans="3:14" s="116" customFormat="1" x14ac:dyDescent="0.3">
      <c r="C9" s="116" t="s">
        <v>23</v>
      </c>
    </row>
    <row r="10" spans="3:14" s="116" customFormat="1" x14ac:dyDescent="0.3"/>
  </sheetData>
  <mergeCells count="2">
    <mergeCell ref="D1:H1"/>
    <mergeCell ref="D2:H2"/>
  </mergeCell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Intro</vt:lpstr>
      <vt:lpstr>Inputs</vt:lpstr>
      <vt:lpstr>Change</vt:lpstr>
      <vt:lpstr>Load</vt:lpstr>
      <vt:lpstr>Sheet1</vt:lpstr>
      <vt:lpstr>Data_sources</vt:lpstr>
      <vt:lpstr>Help</vt:lpstr>
      <vt:lpstr>Links</vt:lpstr>
      <vt:lpstr>References</vt:lpstr>
      <vt:lpstr>Variables</vt:lpstr>
      <vt:lpstr>Worksheet_definitions</vt:lpstr>
    </vt:vector>
  </TitlesOfParts>
  <Company>HR Wallingford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Townend</dc:creator>
  <cp:lastModifiedBy>Ian Townend</cp:lastModifiedBy>
  <dcterms:created xsi:type="dcterms:W3CDTF">2001-07-29T16:16:29Z</dcterms:created>
  <dcterms:modified xsi:type="dcterms:W3CDTF">2025-09-19T10:56:59Z</dcterms:modified>
</cp:coreProperties>
</file>